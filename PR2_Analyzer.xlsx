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ataset" sheetId="1" r:id="rId1"/>
    <sheet name="Analys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<sst xmlns="http://schemas.openxmlformats.org/spreadsheetml/2006/main" count="1022" uniqueCount="475">
  <si>
    <t>Customer_ID</t>
  </si>
  <si>
    <t>Customer_Name</t>
  </si>
  <si>
    <t>Region</t>
  </si>
  <si>
    <t>Product</t>
  </si>
  <si>
    <t>Sales</t>
  </si>
  <si>
    <t>Quantity</t>
  </si>
  <si>
    <t>Discount</t>
  </si>
  <si>
    <t>Total_Purchase</t>
  </si>
  <si>
    <t>Profit</t>
  </si>
  <si>
    <t>Date</t>
  </si>
  <si>
    <t>CUST001</t>
  </si>
  <si>
    <t>Mira Kumar</t>
  </si>
  <si>
    <t>East</t>
  </si>
  <si>
    <t>Groceries</t>
  </si>
  <si>
    <t>2025-01-30</t>
  </si>
  <si>
    <t>CUST002</t>
  </si>
  <si>
    <t>Karan Desai</t>
  </si>
  <si>
    <t>Furniture</t>
  </si>
  <si>
    <t>2025-02-01</t>
  </si>
  <si>
    <t>CUST003</t>
  </si>
  <si>
    <t>Isha Desai</t>
  </si>
  <si>
    <t>Clothing</t>
  </si>
  <si>
    <t>2025-05-22</t>
  </si>
  <si>
    <t>CUST004</t>
  </si>
  <si>
    <t>Nikhil Desai</t>
  </si>
  <si>
    <t>Electronics</t>
  </si>
  <si>
    <t>2025-09-01</t>
  </si>
  <si>
    <t>CUST005</t>
  </si>
  <si>
    <t>Nikhil Sharma</t>
  </si>
  <si>
    <t>North</t>
  </si>
  <si>
    <t>2025-06-10</t>
  </si>
  <si>
    <t>CUST006</t>
  </si>
  <si>
    <t>Priya Patel</t>
  </si>
  <si>
    <t>South</t>
  </si>
  <si>
    <t>2025-05-29</t>
  </si>
  <si>
    <t>CUST007</t>
  </si>
  <si>
    <t>Pooja Thomas</t>
  </si>
  <si>
    <t>West</t>
  </si>
  <si>
    <t>2025-08-07</t>
  </si>
  <si>
    <t>CUST008</t>
  </si>
  <si>
    <t>Mira Sharma</t>
  </si>
  <si>
    <t>2025-06-28</t>
  </si>
  <si>
    <t>CUST009</t>
  </si>
  <si>
    <t>2025-04-28</t>
  </si>
  <si>
    <t>CUST010</t>
  </si>
  <si>
    <t>Kriti Desai</t>
  </si>
  <si>
    <t>2025-06-20</t>
  </si>
  <si>
    <t>CUST011</t>
  </si>
  <si>
    <t>Tara Desai</t>
  </si>
  <si>
    <t>2025-01-22</t>
  </si>
  <si>
    <t>CUST012</t>
  </si>
  <si>
    <t>Karan Reddy</t>
  </si>
  <si>
    <t>2025-06-27</t>
  </si>
  <si>
    <t>CUST013</t>
  </si>
  <si>
    <t>Rohan Reddy</t>
  </si>
  <si>
    <t>2025-07-30</t>
  </si>
  <si>
    <t>CUST014</t>
  </si>
  <si>
    <t>Priya Kumar</t>
  </si>
  <si>
    <t>2025-09-05</t>
  </si>
  <si>
    <t>CUST015</t>
  </si>
  <si>
    <t>Sanjay Sharma</t>
  </si>
  <si>
    <t>2025-01-03</t>
  </si>
  <si>
    <t>CUST016</t>
  </si>
  <si>
    <t>Sara Kumar</t>
  </si>
  <si>
    <t>2025-06-06</t>
  </si>
  <si>
    <t>CUST017</t>
  </si>
  <si>
    <t>Rohan Patel</t>
  </si>
  <si>
    <t>Accessories</t>
  </si>
  <si>
    <t>2025-09-04</t>
  </si>
  <si>
    <t>CUST018</t>
  </si>
  <si>
    <t>Karan Thomas</t>
  </si>
  <si>
    <t>2025-07-08</t>
  </si>
  <si>
    <t>CUST019</t>
  </si>
  <si>
    <t>Sanjay Desai</t>
  </si>
  <si>
    <t>2025-02-03</t>
  </si>
  <si>
    <t>CUST020</t>
  </si>
  <si>
    <t>Pooja Reddy</t>
  </si>
  <si>
    <t>2025-01-07</t>
  </si>
  <si>
    <t>CUST021</t>
  </si>
  <si>
    <t>Diya Patel</t>
  </si>
  <si>
    <t>2025-02-26</t>
  </si>
  <si>
    <t>CUST022</t>
  </si>
  <si>
    <t>Ananya Reddy</t>
  </si>
  <si>
    <t>2025-07-23</t>
  </si>
  <si>
    <t>CUST023</t>
  </si>
  <si>
    <t>Pooja Sharma</t>
  </si>
  <si>
    <t>2025-05-31</t>
  </si>
  <si>
    <t>CUST024</t>
  </si>
  <si>
    <t>Tara Reddy</t>
  </si>
  <si>
    <t>2025-05-20</t>
  </si>
  <si>
    <t>CUST025</t>
  </si>
  <si>
    <t>Varun Reddy</t>
  </si>
  <si>
    <t>CUST026</t>
  </si>
  <si>
    <t>Sneha Kumar</t>
  </si>
  <si>
    <t>2025-06-24</t>
  </si>
  <si>
    <t>CUST027</t>
  </si>
  <si>
    <t>2025-05-18</t>
  </si>
  <si>
    <t>CUST028</t>
  </si>
  <si>
    <t>Vikram Thomas</t>
  </si>
  <si>
    <t>2025-06-18</t>
  </si>
  <si>
    <t>CUST029</t>
  </si>
  <si>
    <t>Arjun Kumar</t>
  </si>
  <si>
    <t>2025-05-04</t>
  </si>
  <si>
    <t>CUST030</t>
  </si>
  <si>
    <t>Aarav Patel</t>
  </si>
  <si>
    <t>2025-02-14</t>
  </si>
  <si>
    <t>CUST031</t>
  </si>
  <si>
    <t>2025-05-02</t>
  </si>
  <si>
    <t>CUST032</t>
  </si>
  <si>
    <t>Varun Thomas</t>
  </si>
  <si>
    <t>2025-09-13</t>
  </si>
  <si>
    <t>CUST033</t>
  </si>
  <si>
    <t>Kriti Kumar</t>
  </si>
  <si>
    <t>2025-02-20</t>
  </si>
  <si>
    <t>CUST034</t>
  </si>
  <si>
    <t>Aarav Sharma</t>
  </si>
  <si>
    <t>2025-02-19</t>
  </si>
  <si>
    <t>CUST035</t>
  </si>
  <si>
    <t>Rohan Desai</t>
  </si>
  <si>
    <t>2025-07-10</t>
  </si>
  <si>
    <t>CUST036</t>
  </si>
  <si>
    <t>Sara Thomas</t>
  </si>
  <si>
    <t>2025-03-26</t>
  </si>
  <si>
    <t>CUST037</t>
  </si>
  <si>
    <t>Nikhil Thomas</t>
  </si>
  <si>
    <t>2025-02-12</t>
  </si>
  <si>
    <t>CUST038</t>
  </si>
  <si>
    <t>Sneha Desai</t>
  </si>
  <si>
    <t>2025-03-12</t>
  </si>
  <si>
    <t>CUST039</t>
  </si>
  <si>
    <t>Aarav Reddy</t>
  </si>
  <si>
    <t>2025-04-18</t>
  </si>
  <si>
    <t>CUST040</t>
  </si>
  <si>
    <t>2025-02-23</t>
  </si>
  <si>
    <t>CUST041</t>
  </si>
  <si>
    <t>Sneha Thomas</t>
  </si>
  <si>
    <t>2025-03-11</t>
  </si>
  <si>
    <t>CUST042</t>
  </si>
  <si>
    <t>Vikram Sharma</t>
  </si>
  <si>
    <t>2025-06-22</t>
  </si>
  <si>
    <t>CUST043</t>
  </si>
  <si>
    <t>Pooja Desai</t>
  </si>
  <si>
    <t>2025-08-13</t>
  </si>
  <si>
    <t>CUST044</t>
  </si>
  <si>
    <t>Karan Kumar</t>
  </si>
  <si>
    <t>2025-07-05</t>
  </si>
  <si>
    <t>CUST045</t>
  </si>
  <si>
    <t>CUST046</t>
  </si>
  <si>
    <t>2025-01-19</t>
  </si>
  <si>
    <t>CUST047</t>
  </si>
  <si>
    <t>2025-07-09</t>
  </si>
  <si>
    <t>CUST048</t>
  </si>
  <si>
    <t>2025-01-23</t>
  </si>
  <si>
    <t>CUST049</t>
  </si>
  <si>
    <t>2025-04-24</t>
  </si>
  <si>
    <t>CUST050</t>
  </si>
  <si>
    <t>2025-04-10</t>
  </si>
  <si>
    <t>CUST051</t>
  </si>
  <si>
    <t>Mira Patel</t>
  </si>
  <si>
    <t>2025-06-21</t>
  </si>
  <si>
    <t>CUST052</t>
  </si>
  <si>
    <t>Aarav Desai</t>
  </si>
  <si>
    <t>2025-05-24</t>
  </si>
  <si>
    <t>CUST053</t>
  </si>
  <si>
    <t>2025-04-25</t>
  </si>
  <si>
    <t>CUST054</t>
  </si>
  <si>
    <t>Vikram Kumar</t>
  </si>
  <si>
    <t>2025-04-03</t>
  </si>
  <si>
    <t>CUST055</t>
  </si>
  <si>
    <t>Aarav Thomas</t>
  </si>
  <si>
    <t>2025-03-18</t>
  </si>
  <si>
    <t>CUST056</t>
  </si>
  <si>
    <t>2025-04-07</t>
  </si>
  <si>
    <t>CUST057</t>
  </si>
  <si>
    <t>Priya Reddy</t>
  </si>
  <si>
    <t>2025-07-26</t>
  </si>
  <si>
    <t>CUST058</t>
  </si>
  <si>
    <t>2025-02-11</t>
  </si>
  <si>
    <t>CUST059</t>
  </si>
  <si>
    <t>2025-08-17</t>
  </si>
  <si>
    <t>CUST060</t>
  </si>
  <si>
    <t>Pooja Patel</t>
  </si>
  <si>
    <t>2025-06-17</t>
  </si>
  <si>
    <t>CUST061</t>
  </si>
  <si>
    <t>2025-06-12</t>
  </si>
  <si>
    <t>CUST062</t>
  </si>
  <si>
    <t>Rahul Sharma</t>
  </si>
  <si>
    <t>2025-05-23</t>
  </si>
  <si>
    <t>CUST063</t>
  </si>
  <si>
    <t>2025-03-31</t>
  </si>
  <si>
    <t>CUST064</t>
  </si>
  <si>
    <t>Kriti Sharma</t>
  </si>
  <si>
    <t>2025-02-05</t>
  </si>
  <si>
    <t>CUST065</t>
  </si>
  <si>
    <t>CUST066</t>
  </si>
  <si>
    <t>2025-06-07</t>
  </si>
  <si>
    <t>CUST067</t>
  </si>
  <si>
    <t>Rohan Kumar</t>
  </si>
  <si>
    <t>2025-08-22</t>
  </si>
  <si>
    <t>CUST068</t>
  </si>
  <si>
    <t>Dev Patel</t>
  </si>
  <si>
    <t>2025-04-20</t>
  </si>
  <si>
    <t>CUST069</t>
  </si>
  <si>
    <t>Pooja Kumar</t>
  </si>
  <si>
    <t>2025-01-11</t>
  </si>
  <si>
    <t>CUST070</t>
  </si>
  <si>
    <t>Diya Desai</t>
  </si>
  <si>
    <t>2025-03-19</t>
  </si>
  <si>
    <t>CUST071</t>
  </si>
  <si>
    <t>Arjun Sharma</t>
  </si>
  <si>
    <t>2025-07-16</t>
  </si>
  <si>
    <t>CUST072</t>
  </si>
  <si>
    <t>2025-08-08</t>
  </si>
  <si>
    <t>CUST073</t>
  </si>
  <si>
    <t>Rohan Sharma</t>
  </si>
  <si>
    <t>2025-07-20</t>
  </si>
  <si>
    <t>CUST074</t>
  </si>
  <si>
    <t>Rahul Patel</t>
  </si>
  <si>
    <t>2025-03-13</t>
  </si>
  <si>
    <t>CUST075</t>
  </si>
  <si>
    <t>2025-09-18</t>
  </si>
  <si>
    <t>CUST076</t>
  </si>
  <si>
    <t>Priya Desai</t>
  </si>
  <si>
    <t>CUST077</t>
  </si>
  <si>
    <t>2025-01-31</t>
  </si>
  <si>
    <t>CUST078</t>
  </si>
  <si>
    <t>2025-01-12</t>
  </si>
  <si>
    <t>CUST079</t>
  </si>
  <si>
    <t>CUST080</t>
  </si>
  <si>
    <t>2025-03-21</t>
  </si>
  <si>
    <t>CUST081</t>
  </si>
  <si>
    <t>Sanjay Patel</t>
  </si>
  <si>
    <t>CUST082</t>
  </si>
  <si>
    <t>2025-03-25</t>
  </si>
  <si>
    <t>CUST083</t>
  </si>
  <si>
    <t>CUST084</t>
  </si>
  <si>
    <t>Dev Kumar</t>
  </si>
  <si>
    <t>2025-08-10</t>
  </si>
  <si>
    <t>CUST085</t>
  </si>
  <si>
    <t>Diya Thomas</t>
  </si>
  <si>
    <t>2025-02-21</t>
  </si>
  <si>
    <t>CUST086</t>
  </si>
  <si>
    <t>2025-01-06</t>
  </si>
  <si>
    <t>CUST087</t>
  </si>
  <si>
    <t>Karan Patel</t>
  </si>
  <si>
    <t>2025-01-20</t>
  </si>
  <si>
    <t>CUST088</t>
  </si>
  <si>
    <t>Priya Thomas</t>
  </si>
  <si>
    <t>2025-08-27</t>
  </si>
  <si>
    <t>CUST089</t>
  </si>
  <si>
    <t>Diya Kumar</t>
  </si>
  <si>
    <t>2025-08-14</t>
  </si>
  <si>
    <t>CUST090</t>
  </si>
  <si>
    <t>2025-02-15</t>
  </si>
  <si>
    <t>CUST091</t>
  </si>
  <si>
    <t>Dev Sharma</t>
  </si>
  <si>
    <t>2025-09-12</t>
  </si>
  <si>
    <t>CUST092</t>
  </si>
  <si>
    <t>2025-01-10</t>
  </si>
  <si>
    <t>CUST093</t>
  </si>
  <si>
    <t>CUST094</t>
  </si>
  <si>
    <t>Ananya Desai</t>
  </si>
  <si>
    <t>CUST095</t>
  </si>
  <si>
    <t>Nikhil Kumar</t>
  </si>
  <si>
    <t>2025-01-16</t>
  </si>
  <si>
    <t>CUST096</t>
  </si>
  <si>
    <t>CUST097</t>
  </si>
  <si>
    <t>2025-04-08</t>
  </si>
  <si>
    <t>CUST098</t>
  </si>
  <si>
    <t>Priya Sharma</t>
  </si>
  <si>
    <t>CUST099</t>
  </si>
  <si>
    <t>2025-06-13</t>
  </si>
  <si>
    <t>CUST100</t>
  </si>
  <si>
    <t>Nikhil Patel</t>
  </si>
  <si>
    <t>2025-01-15</t>
  </si>
  <si>
    <t>CUST101</t>
  </si>
  <si>
    <t>CUST102</t>
  </si>
  <si>
    <t>Ananya Patel</t>
  </si>
  <si>
    <t>CUST103</t>
  </si>
  <si>
    <t>2025-02-09</t>
  </si>
  <si>
    <t>CUST104</t>
  </si>
  <si>
    <t>2025-08-11</t>
  </si>
  <si>
    <t>CUST105</t>
  </si>
  <si>
    <t>Dev Desai</t>
  </si>
  <si>
    <t>CUST106</t>
  </si>
  <si>
    <t>Rohan Thomas</t>
  </si>
  <si>
    <t>CUST107</t>
  </si>
  <si>
    <t>Varun Sharma</t>
  </si>
  <si>
    <t>2025-07-02</t>
  </si>
  <si>
    <t>CUST108</t>
  </si>
  <si>
    <t>2025-03-22</t>
  </si>
  <si>
    <t>CUST109</t>
  </si>
  <si>
    <t>2025-09-02</t>
  </si>
  <si>
    <t>CUST110</t>
  </si>
  <si>
    <t>2025-04-27</t>
  </si>
  <si>
    <t>CUST111</t>
  </si>
  <si>
    <t>2025-09-15</t>
  </si>
  <si>
    <t>CUST112</t>
  </si>
  <si>
    <t>CUST113</t>
  </si>
  <si>
    <t>Vikram Reddy</t>
  </si>
  <si>
    <t>2025-02-17</t>
  </si>
  <si>
    <t>CUST114</t>
  </si>
  <si>
    <t>Tara Patel</t>
  </si>
  <si>
    <t>2025-08-19</t>
  </si>
  <si>
    <t>CUST115</t>
  </si>
  <si>
    <t>CUST116</t>
  </si>
  <si>
    <t>Sara Sharma</t>
  </si>
  <si>
    <t>CUST117</t>
  </si>
  <si>
    <t>CUST118</t>
  </si>
  <si>
    <t>2025-01-29</t>
  </si>
  <si>
    <t>CUST119</t>
  </si>
  <si>
    <t>Arjun Thomas</t>
  </si>
  <si>
    <t>2025-03-17</t>
  </si>
  <si>
    <t>CUST120</t>
  </si>
  <si>
    <t>CUST121</t>
  </si>
  <si>
    <t>Isha Patel</t>
  </si>
  <si>
    <t>2025-08-23</t>
  </si>
  <si>
    <t>CUST122</t>
  </si>
  <si>
    <t>CUST123</t>
  </si>
  <si>
    <t>Tara Sharma</t>
  </si>
  <si>
    <t>CUST124</t>
  </si>
  <si>
    <t>CUST125</t>
  </si>
  <si>
    <t>CUST126</t>
  </si>
  <si>
    <t>Isha Kumar</t>
  </si>
  <si>
    <t>2025-03-30</t>
  </si>
  <si>
    <t>CUST127</t>
  </si>
  <si>
    <t>2025-05-28</t>
  </si>
  <si>
    <t>CUST128</t>
  </si>
  <si>
    <t>2025-08-21</t>
  </si>
  <si>
    <t>CUST129</t>
  </si>
  <si>
    <t>Rahul Reddy</t>
  </si>
  <si>
    <t>CUST130</t>
  </si>
  <si>
    <t>Sneha Patel</t>
  </si>
  <si>
    <t>CUST131</t>
  </si>
  <si>
    <t>CUST132</t>
  </si>
  <si>
    <t>Sneha Reddy</t>
  </si>
  <si>
    <t>2025-03-04</t>
  </si>
  <si>
    <t>CUST133</t>
  </si>
  <si>
    <t>2025-06-29</t>
  </si>
  <si>
    <t>CUST134</t>
  </si>
  <si>
    <t>2025-01-21</t>
  </si>
  <si>
    <t>CUST135</t>
  </si>
  <si>
    <t>2025-02-22</t>
  </si>
  <si>
    <t>CUST136</t>
  </si>
  <si>
    <t>Dev Reddy</t>
  </si>
  <si>
    <t>CUST137</t>
  </si>
  <si>
    <t>2025-07-12</t>
  </si>
  <si>
    <t>CUST138</t>
  </si>
  <si>
    <t>Mira Desai</t>
  </si>
  <si>
    <t>2025-07-25</t>
  </si>
  <si>
    <t>CUST139</t>
  </si>
  <si>
    <t>Aarav Kumar</t>
  </si>
  <si>
    <t>2025-06-15</t>
  </si>
  <si>
    <t>CUST140</t>
  </si>
  <si>
    <t>CUST141</t>
  </si>
  <si>
    <t>CUST142</t>
  </si>
  <si>
    <t>2025-01-17</t>
  </si>
  <si>
    <t>CUST143</t>
  </si>
  <si>
    <t>2025-06-19</t>
  </si>
  <si>
    <t>CUST144</t>
  </si>
  <si>
    <t>2025-07-07</t>
  </si>
  <si>
    <t>CUST145</t>
  </si>
  <si>
    <t>CUST146</t>
  </si>
  <si>
    <t>2025-05-17</t>
  </si>
  <si>
    <t>CUST147</t>
  </si>
  <si>
    <t>Mira Thomas</t>
  </si>
  <si>
    <t>CUST148</t>
  </si>
  <si>
    <t>CUST149</t>
  </si>
  <si>
    <t>CUST150</t>
  </si>
  <si>
    <t>2025-09-28</t>
  </si>
  <si>
    <t>CUST151</t>
  </si>
  <si>
    <t>Ananya Kumar</t>
  </si>
  <si>
    <t>2025-09-19</t>
  </si>
  <si>
    <t>CUST152</t>
  </si>
  <si>
    <t>CUST153</t>
  </si>
  <si>
    <t>CUST154</t>
  </si>
  <si>
    <t>CUST155</t>
  </si>
  <si>
    <t>2025-04-15</t>
  </si>
  <si>
    <t>CUST156</t>
  </si>
  <si>
    <t>2025-01-18</t>
  </si>
  <si>
    <t>CUST157</t>
  </si>
  <si>
    <t>Arjun Desai</t>
  </si>
  <si>
    <t>2025-08-30</t>
  </si>
  <si>
    <t>CUST158</t>
  </si>
  <si>
    <t>CUST159</t>
  </si>
  <si>
    <t>2025-09-20</t>
  </si>
  <si>
    <t>CUST160</t>
  </si>
  <si>
    <t>CUST161</t>
  </si>
  <si>
    <t>2025-01-04</t>
  </si>
  <si>
    <t>CUST162</t>
  </si>
  <si>
    <t>2025-04-02</t>
  </si>
  <si>
    <t>CUST163</t>
  </si>
  <si>
    <t>Sanjay Thomas</t>
  </si>
  <si>
    <t>CUST164</t>
  </si>
  <si>
    <t>2025-09-16</t>
  </si>
  <si>
    <t>CUST165</t>
  </si>
  <si>
    <t>CUST166</t>
  </si>
  <si>
    <t>Vikram Patel</t>
  </si>
  <si>
    <t>2025-05-10</t>
  </si>
  <si>
    <t>CUST167</t>
  </si>
  <si>
    <t>CUST168</t>
  </si>
  <si>
    <t>2025-09-08</t>
  </si>
  <si>
    <t>CUST169</t>
  </si>
  <si>
    <t>2025-06-08</t>
  </si>
  <si>
    <t>CUST170</t>
  </si>
  <si>
    <t>Tara Kumar</t>
  </si>
  <si>
    <t>2025-08-20</t>
  </si>
  <si>
    <t>CUST171</t>
  </si>
  <si>
    <t>Sara Reddy</t>
  </si>
  <si>
    <t>2025-04-21</t>
  </si>
  <si>
    <t>CUST172</t>
  </si>
  <si>
    <t>CUST173</t>
  </si>
  <si>
    <t>CUST174</t>
  </si>
  <si>
    <t>2025-04-01</t>
  </si>
  <si>
    <t>CUST175</t>
  </si>
  <si>
    <t>2025-02-28</t>
  </si>
  <si>
    <t>CUST176</t>
  </si>
  <si>
    <t>Varun Kumar</t>
  </si>
  <si>
    <t>2025-06-01</t>
  </si>
  <si>
    <t>CUST177</t>
  </si>
  <si>
    <t>CUST178</t>
  </si>
  <si>
    <t>2025-05-11</t>
  </si>
  <si>
    <t>CUST179</t>
  </si>
  <si>
    <t>Kriti Patel</t>
  </si>
  <si>
    <t>CUST180</t>
  </si>
  <si>
    <t>2025-04-22</t>
  </si>
  <si>
    <t>CUST181</t>
  </si>
  <si>
    <t>CUST182</t>
  </si>
  <si>
    <t>Arjun Reddy</t>
  </si>
  <si>
    <t>2025-04-04</t>
  </si>
  <si>
    <t>CUST183</t>
  </si>
  <si>
    <t>Rahul Desai</t>
  </si>
  <si>
    <t>2025-05-13</t>
  </si>
  <si>
    <t>CUST184</t>
  </si>
  <si>
    <t>CUST185</t>
  </si>
  <si>
    <t>2025-02-06</t>
  </si>
  <si>
    <t>CUST186</t>
  </si>
  <si>
    <t>2025-06-16</t>
  </si>
  <si>
    <t>CUST187</t>
  </si>
  <si>
    <t>2025-03-09</t>
  </si>
  <si>
    <t>CUST188</t>
  </si>
  <si>
    <t>2025-07-28</t>
  </si>
  <si>
    <t>CUST189</t>
  </si>
  <si>
    <t>CUST190</t>
  </si>
  <si>
    <t>Diya Reddy</t>
  </si>
  <si>
    <t>CUST191</t>
  </si>
  <si>
    <t>Dev Thomas</t>
  </si>
  <si>
    <t>2025-08-26</t>
  </si>
  <si>
    <t>CUST192</t>
  </si>
  <si>
    <t>CUST193</t>
  </si>
  <si>
    <t>Sara Desai</t>
  </si>
  <si>
    <t>CUST194</t>
  </si>
  <si>
    <t>CUST195</t>
  </si>
  <si>
    <t>2025-07-11</t>
  </si>
  <si>
    <t>CUST196</t>
  </si>
  <si>
    <t>2025-05-25</t>
  </si>
  <si>
    <t>CUST197</t>
  </si>
  <si>
    <t>Tara Thomas</t>
  </si>
  <si>
    <t>2025-01-27</t>
  </si>
  <si>
    <t>CUST198</t>
  </si>
  <si>
    <t>CUST199</t>
  </si>
  <si>
    <t>CUST200</t>
  </si>
  <si>
    <t>Isha Sharma</t>
  </si>
  <si>
    <t>PR2 Analyzer - Formula &amp; Analysis Section</t>
  </si>
  <si>
    <t>Average Total Purchase</t>
  </si>
  <si>
    <t>Max Total Purchase</t>
  </si>
  <si>
    <t>Min Total Purchase</t>
  </si>
  <si>
    <t>Customer Count</t>
  </si>
  <si>
    <t>Highest Spender</t>
  </si>
  <si>
    <t>Now (Timestamp)</t>
  </si>
  <si>
    <t>Above Average Customers (using FILTER)</t>
  </si>
  <si>
    <t>PR2 Analyzer Dashboard</t>
  </si>
  <si>
    <t>Total Sales</t>
  </si>
  <si>
    <t>Total Profit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</si>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</sst>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5"/>
      <color rgb="FFFFFF00"/>
      <name val="Times New Roman"/>
      <charset val="134"/>
    </font>
    <font>
      <sz val="12"/>
      <color theme="3" tint="-0.25"/>
      <name val="Times New Roman"/>
      <charset val="134"/>
    </font>
    <font>
      <sz val="12"/>
      <color theme="1"/>
      <name val="Times New Roman"/>
      <charset val="134"/>
    </font>
    <font>
      <sz val="12"/>
      <color rgb="FF00206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-0.25"/>
        <bgColor rgb="FF31849B"/>
      </patternFill>
    </fill>
    <fill>
      <patternFill patternType="solid">
        <fgColor theme="3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-0.25"/>
        <bgColor rgb="FF4BACC6"/>
      </patternFill>
    </fill>
    <fill>
      <patternFill patternType="solid">
        <fgColor theme="3" tint="-0.25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12" applyFont="1" applyFill="1" applyAlignment="1">
      <alignment horizontal="center"/>
    </xf>
    <xf numFmtId="0" fontId="1" fillId="3" borderId="1" xfId="12" applyFont="1" applyFill="1" applyAlignment="1"/>
    <xf numFmtId="0" fontId="2" fillId="4" borderId="0" xfId="0" applyFont="1" applyFill="1"/>
    <xf numFmtId="0" fontId="3" fillId="0" borderId="0" xfId="0" applyFont="1"/>
    <xf numFmtId="0" fontId="1" fillId="5" borderId="1" xfId="12" applyFont="1" applyFill="1" applyAlignment="1">
      <alignment horizontal="center"/>
    </xf>
    <xf numFmtId="0" fontId="1" fillId="6" borderId="2" xfId="12" applyFont="1" applyFill="1" applyBorder="1" applyAlignment="1"/>
    <xf numFmtId="0" fontId="1" fillId="6" borderId="1" xfId="12" applyFont="1" applyFill="1" applyAlignment="1"/>
    <xf numFmtId="0" fontId="4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562610</xdr:colOff>
      <xdr:row>8</xdr:row>
      <xdr:rowOff>95250</xdr:rowOff>
    </xdr:from>
    <xdr:ext cx="4572000" cy="2667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562610" y="1733550"/>
          <a:ext cx="4572000" cy="2667000"/>
        </a:xfrm>
        <a:prstGeom prst="rect">
          <a:avLst/>
        </a:prstGeom>
      </xdr:spPr>
    </xdr:pic>
    <xdr:clientData/>
  </xdr:oneCellAnchor>
  <xdr:oneCellAnchor>
    <xdr:from>
      <xdr:col>0</xdr:col>
      <xdr:colOff>572135</xdr:colOff>
      <xdr:row>26</xdr:row>
      <xdr:rowOff>19050</xdr:rowOff>
    </xdr:from>
    <xdr:ext cx="4572000" cy="2667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72135" y="5086350"/>
          <a:ext cx="4572000" cy="2667000"/>
        </a:xfrm>
        <a:prstGeom prst="rect">
          <a:avLst/>
        </a:prstGeom>
      </xdr:spPr>
    </xdr:pic>
    <xdr:clientData/>
  </xdr:oneCellAnchor>
  <xdr:oneCellAnchor>
    <xdr:from>
      <xdr:col>0</xdr:col>
      <xdr:colOff>953770</xdr:colOff>
      <xdr:row>43</xdr:row>
      <xdr:rowOff>9525</xdr:rowOff>
    </xdr:from>
    <xdr:ext cx="3999865" cy="2667000"/>
    <xdr:pic>
      <xdr:nvPicPr>
        <xdr:cNvPr id="4" name="Image 3" descr="Picture"/>
        <xdr:cNvPicPr/>
      </xdr:nvPicPr>
      <xdr:blipFill>
        <a:blip r:embed="rId3"/>
        <a:stretch>
          <a:fillRect/>
        </a:stretch>
      </xdr:blipFill>
      <xdr:spPr>
        <a:xfrm>
          <a:off x="953770" y="8315325"/>
          <a:ext cx="3999865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A19" sqref="A19"/>
    </sheetView>
  </sheetViews>
  <sheetFormatPr defaultColWidth="9" defaultRowHeight="15"/>
  <cols>
    <col min="1" max="1" width="19.5714285714286" customWidth="1"/>
    <col min="2" max="2" width="23.2857142857143" customWidth="1"/>
    <col min="3" max="3" width="17.1428571428571" customWidth="1"/>
    <col min="4" max="7" width="15" customWidth="1"/>
    <col min="8" max="8" width="25.4285714285714" customWidth="1"/>
    <col min="9" max="10" width="15" customWidth="1"/>
  </cols>
  <sheetData>
    <row r="1" ht="20.25" spans="1:1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15.75" spans="1:10">
      <c r="A2" s="8" t="s">
        <v>10</v>
      </c>
      <c r="B2" s="8" t="s">
        <v>11</v>
      </c>
      <c r="C2" s="8" t="s">
        <v>12</v>
      </c>
      <c r="D2" s="8" t="s">
        <v>13</v>
      </c>
      <c r="E2" s="8">
        <v>3020.01</v>
      </c>
      <c r="F2" s="8">
        <v>9</v>
      </c>
      <c r="G2" s="8">
        <v>0.19</v>
      </c>
      <c r="H2" s="8">
        <f t="shared" ref="H2:H65" si="0">E2*F2*(1-G2)</f>
        <v>22015.8729</v>
      </c>
      <c r="I2" s="8">
        <f t="shared" ref="I2:I65" si="1">H2*0.2</f>
        <v>4403.17458</v>
      </c>
      <c r="J2" s="8" t="s">
        <v>14</v>
      </c>
    </row>
    <row r="3" ht="15.75" spans="1:10">
      <c r="A3" s="8" t="s">
        <v>15</v>
      </c>
      <c r="B3" s="8" t="s">
        <v>16</v>
      </c>
      <c r="C3" s="8" t="s">
        <v>12</v>
      </c>
      <c r="D3" s="8" t="s">
        <v>17</v>
      </c>
      <c r="E3" s="8">
        <v>1862.73</v>
      </c>
      <c r="F3" s="8">
        <v>3</v>
      </c>
      <c r="G3" s="8">
        <v>0.07</v>
      </c>
      <c r="H3" s="8">
        <f t="shared" si="0"/>
        <v>5197.0167</v>
      </c>
      <c r="I3" s="8">
        <f t="shared" si="1"/>
        <v>1039.40334</v>
      </c>
      <c r="J3" s="8" t="s">
        <v>18</v>
      </c>
    </row>
    <row r="4" ht="15.75" spans="1:10">
      <c r="A4" s="8" t="s">
        <v>19</v>
      </c>
      <c r="B4" s="8" t="s">
        <v>20</v>
      </c>
      <c r="C4" s="8" t="s">
        <v>12</v>
      </c>
      <c r="D4" s="8" t="s">
        <v>21</v>
      </c>
      <c r="E4" s="8">
        <v>372.75</v>
      </c>
      <c r="F4" s="8">
        <v>9</v>
      </c>
      <c r="G4" s="8">
        <v>0.05</v>
      </c>
      <c r="H4" s="8">
        <f t="shared" si="0"/>
        <v>3187.0125</v>
      </c>
      <c r="I4" s="8">
        <f t="shared" si="1"/>
        <v>637.4025</v>
      </c>
      <c r="J4" s="8" t="s">
        <v>22</v>
      </c>
    </row>
    <row r="5" ht="15.75" spans="1:10">
      <c r="A5" s="8" t="s">
        <v>23</v>
      </c>
      <c r="B5" s="8" t="s">
        <v>24</v>
      </c>
      <c r="C5" s="8" t="s">
        <v>12</v>
      </c>
      <c r="D5" s="8" t="s">
        <v>25</v>
      </c>
      <c r="E5" s="8">
        <v>820.68</v>
      </c>
      <c r="F5" s="8">
        <v>3</v>
      </c>
      <c r="G5" s="8">
        <v>0.01</v>
      </c>
      <c r="H5" s="8">
        <f t="shared" si="0"/>
        <v>2437.4196</v>
      </c>
      <c r="I5" s="8">
        <f t="shared" si="1"/>
        <v>487.48392</v>
      </c>
      <c r="J5" s="8" t="s">
        <v>26</v>
      </c>
    </row>
    <row r="6" ht="15.75" spans="1:10">
      <c r="A6" s="8" t="s">
        <v>27</v>
      </c>
      <c r="B6" s="8" t="s">
        <v>28</v>
      </c>
      <c r="C6" s="8" t="s">
        <v>29</v>
      </c>
      <c r="D6" s="8" t="s">
        <v>25</v>
      </c>
      <c r="E6" s="8">
        <v>2760.75</v>
      </c>
      <c r="F6" s="8">
        <v>2</v>
      </c>
      <c r="G6" s="8">
        <v>0.09</v>
      </c>
      <c r="H6" s="8">
        <f t="shared" si="0"/>
        <v>5024.565</v>
      </c>
      <c r="I6" s="8">
        <f t="shared" si="1"/>
        <v>1004.913</v>
      </c>
      <c r="J6" s="8" t="s">
        <v>30</v>
      </c>
    </row>
    <row r="7" ht="15.75" spans="1:10">
      <c r="A7" s="8" t="s">
        <v>31</v>
      </c>
      <c r="B7" s="8" t="s">
        <v>32</v>
      </c>
      <c r="C7" s="8" t="s">
        <v>33</v>
      </c>
      <c r="D7" s="8" t="s">
        <v>25</v>
      </c>
      <c r="E7" s="8">
        <v>440.84</v>
      </c>
      <c r="F7" s="8">
        <v>6</v>
      </c>
      <c r="G7" s="8">
        <v>0.08</v>
      </c>
      <c r="H7" s="8">
        <f t="shared" si="0"/>
        <v>2433.4368</v>
      </c>
      <c r="I7" s="8">
        <f t="shared" si="1"/>
        <v>486.68736</v>
      </c>
      <c r="J7" s="8" t="s">
        <v>34</v>
      </c>
    </row>
    <row r="8" ht="15.75" spans="1:10">
      <c r="A8" s="8" t="s">
        <v>35</v>
      </c>
      <c r="B8" s="8" t="s">
        <v>36</v>
      </c>
      <c r="C8" s="8" t="s">
        <v>37</v>
      </c>
      <c r="D8" s="8" t="s">
        <v>13</v>
      </c>
      <c r="E8" s="8">
        <v>4700.4</v>
      </c>
      <c r="F8" s="8">
        <v>4</v>
      </c>
      <c r="G8" s="8">
        <v>0.09</v>
      </c>
      <c r="H8" s="8">
        <f t="shared" si="0"/>
        <v>17109.456</v>
      </c>
      <c r="I8" s="8">
        <f t="shared" si="1"/>
        <v>3421.8912</v>
      </c>
      <c r="J8" s="8" t="s">
        <v>38</v>
      </c>
    </row>
    <row r="9" ht="15.75" spans="1:10">
      <c r="A9" s="8" t="s">
        <v>39</v>
      </c>
      <c r="B9" s="8" t="s">
        <v>40</v>
      </c>
      <c r="C9" s="8" t="s">
        <v>12</v>
      </c>
      <c r="D9" s="8" t="s">
        <v>17</v>
      </c>
      <c r="E9" s="8">
        <v>3688.23</v>
      </c>
      <c r="F9" s="8">
        <v>9</v>
      </c>
      <c r="G9" s="8">
        <v>0.12</v>
      </c>
      <c r="H9" s="8">
        <f t="shared" si="0"/>
        <v>29210.7816</v>
      </c>
      <c r="I9" s="8">
        <f t="shared" si="1"/>
        <v>5842.15632</v>
      </c>
      <c r="J9" s="8" t="s">
        <v>41</v>
      </c>
    </row>
    <row r="10" ht="15.75" spans="1:10">
      <c r="A10" s="8" t="s">
        <v>42</v>
      </c>
      <c r="B10" s="8" t="s">
        <v>24</v>
      </c>
      <c r="C10" s="8" t="s">
        <v>37</v>
      </c>
      <c r="D10" s="8" t="s">
        <v>25</v>
      </c>
      <c r="E10" s="8">
        <v>1221.5</v>
      </c>
      <c r="F10" s="8">
        <v>5</v>
      </c>
      <c r="G10" s="8">
        <v>0.09</v>
      </c>
      <c r="H10" s="8">
        <f t="shared" si="0"/>
        <v>5557.825</v>
      </c>
      <c r="I10" s="8">
        <f t="shared" si="1"/>
        <v>1111.565</v>
      </c>
      <c r="J10" s="8" t="s">
        <v>43</v>
      </c>
    </row>
    <row r="11" ht="15.75" spans="1:10">
      <c r="A11" s="8" t="s">
        <v>44</v>
      </c>
      <c r="B11" s="8" t="s">
        <v>45</v>
      </c>
      <c r="C11" s="8" t="s">
        <v>12</v>
      </c>
      <c r="D11" s="8" t="s">
        <v>13</v>
      </c>
      <c r="E11" s="8">
        <v>3650.61</v>
      </c>
      <c r="F11" s="8">
        <v>6</v>
      </c>
      <c r="G11" s="8">
        <v>0.12</v>
      </c>
      <c r="H11" s="8">
        <f t="shared" si="0"/>
        <v>19275.2208</v>
      </c>
      <c r="I11" s="8">
        <f t="shared" si="1"/>
        <v>3855.04416</v>
      </c>
      <c r="J11" s="8" t="s">
        <v>46</v>
      </c>
    </row>
    <row r="12" ht="15.75" spans="1:10">
      <c r="A12" s="8" t="s">
        <v>47</v>
      </c>
      <c r="B12" s="8" t="s">
        <v>48</v>
      </c>
      <c r="C12" s="8" t="s">
        <v>37</v>
      </c>
      <c r="D12" s="8" t="s">
        <v>21</v>
      </c>
      <c r="E12" s="8">
        <v>1453.12</v>
      </c>
      <c r="F12" s="8">
        <v>4</v>
      </c>
      <c r="G12" s="8">
        <v>0.03</v>
      </c>
      <c r="H12" s="8">
        <f t="shared" si="0"/>
        <v>5638.1056</v>
      </c>
      <c r="I12" s="8">
        <f t="shared" si="1"/>
        <v>1127.62112</v>
      </c>
      <c r="J12" s="8" t="s">
        <v>49</v>
      </c>
    </row>
    <row r="13" ht="15.75" spans="1:10">
      <c r="A13" s="8" t="s">
        <v>50</v>
      </c>
      <c r="B13" s="8" t="s">
        <v>51</v>
      </c>
      <c r="C13" s="8" t="s">
        <v>12</v>
      </c>
      <c r="D13" s="8" t="s">
        <v>17</v>
      </c>
      <c r="E13" s="8">
        <v>1381.5</v>
      </c>
      <c r="F13" s="8">
        <v>9</v>
      </c>
      <c r="G13" s="8">
        <v>0.13</v>
      </c>
      <c r="H13" s="8">
        <f t="shared" si="0"/>
        <v>10817.145</v>
      </c>
      <c r="I13" s="8">
        <f t="shared" si="1"/>
        <v>2163.429</v>
      </c>
      <c r="J13" s="8" t="s">
        <v>52</v>
      </c>
    </row>
    <row r="14" ht="15.75" spans="1:10">
      <c r="A14" s="8" t="s">
        <v>53</v>
      </c>
      <c r="B14" s="8" t="s">
        <v>54</v>
      </c>
      <c r="C14" s="8" t="s">
        <v>33</v>
      </c>
      <c r="D14" s="8" t="s">
        <v>17</v>
      </c>
      <c r="E14" s="8">
        <v>2712.2</v>
      </c>
      <c r="F14" s="8">
        <v>7</v>
      </c>
      <c r="G14" s="8">
        <v>0.11</v>
      </c>
      <c r="H14" s="8">
        <f t="shared" si="0"/>
        <v>16897.006</v>
      </c>
      <c r="I14" s="8">
        <f t="shared" si="1"/>
        <v>3379.4012</v>
      </c>
      <c r="J14" s="8" t="s">
        <v>55</v>
      </c>
    </row>
    <row r="15" ht="15.75" spans="1:10">
      <c r="A15" s="8" t="s">
        <v>56</v>
      </c>
      <c r="B15" s="8" t="s">
        <v>57</v>
      </c>
      <c r="C15" s="8" t="s">
        <v>29</v>
      </c>
      <c r="D15" s="8" t="s">
        <v>13</v>
      </c>
      <c r="E15" s="8">
        <v>250.07</v>
      </c>
      <c r="F15" s="8">
        <v>7</v>
      </c>
      <c r="G15" s="8">
        <v>0.16</v>
      </c>
      <c r="H15" s="8">
        <f t="shared" si="0"/>
        <v>1470.4116</v>
      </c>
      <c r="I15" s="8">
        <f t="shared" si="1"/>
        <v>294.08232</v>
      </c>
      <c r="J15" s="8" t="s">
        <v>58</v>
      </c>
    </row>
    <row r="16" ht="15.75" spans="1:10">
      <c r="A16" s="8" t="s">
        <v>59</v>
      </c>
      <c r="B16" s="8" t="s">
        <v>60</v>
      </c>
      <c r="C16" s="8" t="s">
        <v>37</v>
      </c>
      <c r="D16" s="8" t="s">
        <v>25</v>
      </c>
      <c r="E16" s="8">
        <v>4450.23</v>
      </c>
      <c r="F16" s="8">
        <v>2</v>
      </c>
      <c r="G16" s="8">
        <v>0.02</v>
      </c>
      <c r="H16" s="8">
        <f t="shared" si="0"/>
        <v>8722.4508</v>
      </c>
      <c r="I16" s="8">
        <f t="shared" si="1"/>
        <v>1744.49016</v>
      </c>
      <c r="J16" s="8" t="s">
        <v>61</v>
      </c>
    </row>
    <row r="17" ht="15.75" spans="1:10">
      <c r="A17" s="8" t="s">
        <v>62</v>
      </c>
      <c r="B17" s="8" t="s">
        <v>63</v>
      </c>
      <c r="C17" s="8" t="s">
        <v>12</v>
      </c>
      <c r="D17" s="8" t="s">
        <v>13</v>
      </c>
      <c r="E17" s="8">
        <v>4931.41</v>
      </c>
      <c r="F17" s="8">
        <v>7</v>
      </c>
      <c r="G17" s="8">
        <v>0.04</v>
      </c>
      <c r="H17" s="8">
        <f t="shared" si="0"/>
        <v>33139.0752</v>
      </c>
      <c r="I17" s="8">
        <f t="shared" si="1"/>
        <v>6627.81504</v>
      </c>
      <c r="J17" s="8" t="s">
        <v>64</v>
      </c>
    </row>
    <row r="18" ht="15.75" spans="1:10">
      <c r="A18" s="8" t="s">
        <v>65</v>
      </c>
      <c r="B18" s="8" t="s">
        <v>66</v>
      </c>
      <c r="C18" s="8" t="s">
        <v>37</v>
      </c>
      <c r="D18" s="8" t="s">
        <v>67</v>
      </c>
      <c r="E18" s="8">
        <v>3289.67</v>
      </c>
      <c r="F18" s="8">
        <v>8</v>
      </c>
      <c r="G18" s="8">
        <v>0.19</v>
      </c>
      <c r="H18" s="8">
        <f t="shared" si="0"/>
        <v>21317.0616</v>
      </c>
      <c r="I18" s="8">
        <f t="shared" si="1"/>
        <v>4263.41232</v>
      </c>
      <c r="J18" s="8" t="s">
        <v>68</v>
      </c>
    </row>
    <row r="19" ht="15.75" spans="1:10">
      <c r="A19" s="8" t="s">
        <v>69</v>
      </c>
      <c r="B19" s="8" t="s">
        <v>70</v>
      </c>
      <c r="C19" s="8" t="s">
        <v>29</v>
      </c>
      <c r="D19" s="8" t="s">
        <v>25</v>
      </c>
      <c r="E19" s="8">
        <v>394.54</v>
      </c>
      <c r="F19" s="8">
        <v>3</v>
      </c>
      <c r="G19" s="8">
        <v>0.01</v>
      </c>
      <c r="H19" s="8">
        <f t="shared" si="0"/>
        <v>1171.7838</v>
      </c>
      <c r="I19" s="8">
        <f t="shared" si="1"/>
        <v>234.35676</v>
      </c>
      <c r="J19" s="8" t="s">
        <v>71</v>
      </c>
    </row>
    <row r="20" ht="15.75" spans="1:10">
      <c r="A20" s="8" t="s">
        <v>72</v>
      </c>
      <c r="B20" s="8" t="s">
        <v>73</v>
      </c>
      <c r="C20" s="8" t="s">
        <v>37</v>
      </c>
      <c r="D20" s="8" t="s">
        <v>21</v>
      </c>
      <c r="E20" s="8">
        <v>1899.47</v>
      </c>
      <c r="F20" s="8">
        <v>9</v>
      </c>
      <c r="G20" s="8">
        <v>0.06</v>
      </c>
      <c r="H20" s="8">
        <f t="shared" si="0"/>
        <v>16069.5162</v>
      </c>
      <c r="I20" s="8">
        <f t="shared" si="1"/>
        <v>3213.90324</v>
      </c>
      <c r="J20" s="8" t="s">
        <v>74</v>
      </c>
    </row>
    <row r="21" ht="15.75" spans="1:10">
      <c r="A21" s="8" t="s">
        <v>75</v>
      </c>
      <c r="B21" s="8" t="s">
        <v>76</v>
      </c>
      <c r="C21" s="8" t="s">
        <v>12</v>
      </c>
      <c r="D21" s="8" t="s">
        <v>67</v>
      </c>
      <c r="E21" s="8">
        <v>3415.49</v>
      </c>
      <c r="F21" s="8">
        <v>6</v>
      </c>
      <c r="G21" s="8">
        <v>0.2</v>
      </c>
      <c r="H21" s="8">
        <f t="shared" si="0"/>
        <v>16394.352</v>
      </c>
      <c r="I21" s="8">
        <f t="shared" si="1"/>
        <v>3278.8704</v>
      </c>
      <c r="J21" s="8" t="s">
        <v>77</v>
      </c>
    </row>
    <row r="22" ht="15.75" spans="1:10">
      <c r="A22" s="8" t="s">
        <v>78</v>
      </c>
      <c r="B22" s="8" t="s">
        <v>79</v>
      </c>
      <c r="C22" s="8" t="s">
        <v>12</v>
      </c>
      <c r="D22" s="8" t="s">
        <v>21</v>
      </c>
      <c r="E22" s="8">
        <v>609.36</v>
      </c>
      <c r="F22" s="8">
        <v>8</v>
      </c>
      <c r="G22" s="8">
        <v>0.11</v>
      </c>
      <c r="H22" s="8">
        <f t="shared" si="0"/>
        <v>4338.6432</v>
      </c>
      <c r="I22" s="8">
        <f t="shared" si="1"/>
        <v>867.72864</v>
      </c>
      <c r="J22" s="8" t="s">
        <v>80</v>
      </c>
    </row>
    <row r="23" ht="15.75" spans="1:10">
      <c r="A23" s="8" t="s">
        <v>81</v>
      </c>
      <c r="B23" s="8" t="s">
        <v>82</v>
      </c>
      <c r="C23" s="8" t="s">
        <v>37</v>
      </c>
      <c r="D23" s="8" t="s">
        <v>17</v>
      </c>
      <c r="E23" s="8">
        <v>685.88</v>
      </c>
      <c r="F23" s="8">
        <v>7</v>
      </c>
      <c r="G23" s="8">
        <v>0.04</v>
      </c>
      <c r="H23" s="8">
        <f t="shared" si="0"/>
        <v>4609.1136</v>
      </c>
      <c r="I23" s="8">
        <f t="shared" si="1"/>
        <v>921.82272</v>
      </c>
      <c r="J23" s="8" t="s">
        <v>83</v>
      </c>
    </row>
    <row r="24" ht="15.75" spans="1:10">
      <c r="A24" s="8" t="s">
        <v>84</v>
      </c>
      <c r="B24" s="8" t="s">
        <v>85</v>
      </c>
      <c r="C24" s="8" t="s">
        <v>37</v>
      </c>
      <c r="D24" s="8" t="s">
        <v>25</v>
      </c>
      <c r="E24" s="8">
        <v>638.63</v>
      </c>
      <c r="F24" s="8">
        <v>9</v>
      </c>
      <c r="G24" s="8">
        <v>0.04</v>
      </c>
      <c r="H24" s="8">
        <f t="shared" si="0"/>
        <v>5517.7632</v>
      </c>
      <c r="I24" s="8">
        <f t="shared" si="1"/>
        <v>1103.55264</v>
      </c>
      <c r="J24" s="8" t="s">
        <v>86</v>
      </c>
    </row>
    <row r="25" ht="15.75" spans="1:10">
      <c r="A25" s="8" t="s">
        <v>87</v>
      </c>
      <c r="B25" s="8" t="s">
        <v>88</v>
      </c>
      <c r="C25" s="8" t="s">
        <v>12</v>
      </c>
      <c r="D25" s="8" t="s">
        <v>21</v>
      </c>
      <c r="E25" s="8">
        <v>4483.23</v>
      </c>
      <c r="F25" s="8">
        <v>7</v>
      </c>
      <c r="G25" s="8">
        <v>0.01</v>
      </c>
      <c r="H25" s="8">
        <f t="shared" si="0"/>
        <v>31068.7839</v>
      </c>
      <c r="I25" s="8">
        <f t="shared" si="1"/>
        <v>6213.75678</v>
      </c>
      <c r="J25" s="8" t="s">
        <v>89</v>
      </c>
    </row>
    <row r="26" ht="15.75" spans="1:10">
      <c r="A26" s="8" t="s">
        <v>90</v>
      </c>
      <c r="B26" s="8" t="s">
        <v>91</v>
      </c>
      <c r="C26" s="8" t="s">
        <v>33</v>
      </c>
      <c r="D26" s="8" t="s">
        <v>21</v>
      </c>
      <c r="E26" s="8">
        <v>4360.78</v>
      </c>
      <c r="F26" s="8">
        <v>6</v>
      </c>
      <c r="G26" s="8">
        <v>0.03</v>
      </c>
      <c r="H26" s="8">
        <f t="shared" si="0"/>
        <v>25379.7396</v>
      </c>
      <c r="I26" s="8">
        <f t="shared" si="1"/>
        <v>5075.94792</v>
      </c>
      <c r="J26" s="8" t="s">
        <v>41</v>
      </c>
    </row>
    <row r="27" ht="15.75" spans="1:10">
      <c r="A27" s="8" t="s">
        <v>92</v>
      </c>
      <c r="B27" s="8" t="s">
        <v>93</v>
      </c>
      <c r="C27" s="8" t="s">
        <v>33</v>
      </c>
      <c r="D27" s="8" t="s">
        <v>25</v>
      </c>
      <c r="E27" s="8">
        <v>1685.72</v>
      </c>
      <c r="F27" s="8">
        <v>2</v>
      </c>
      <c r="G27" s="8">
        <v>0.14</v>
      </c>
      <c r="H27" s="8">
        <f t="shared" si="0"/>
        <v>2899.4384</v>
      </c>
      <c r="I27" s="8">
        <f t="shared" si="1"/>
        <v>579.88768</v>
      </c>
      <c r="J27" s="8" t="s">
        <v>94</v>
      </c>
    </row>
    <row r="28" ht="15.75" spans="1:10">
      <c r="A28" s="8" t="s">
        <v>95</v>
      </c>
      <c r="B28" s="8" t="s">
        <v>79</v>
      </c>
      <c r="C28" s="8" t="s">
        <v>33</v>
      </c>
      <c r="D28" s="8" t="s">
        <v>13</v>
      </c>
      <c r="E28" s="8">
        <v>1521.19</v>
      </c>
      <c r="F28" s="8">
        <v>2</v>
      </c>
      <c r="G28" s="8">
        <v>0.05</v>
      </c>
      <c r="H28" s="8">
        <f t="shared" si="0"/>
        <v>2890.261</v>
      </c>
      <c r="I28" s="8">
        <f t="shared" si="1"/>
        <v>578.0522</v>
      </c>
      <c r="J28" s="8" t="s">
        <v>96</v>
      </c>
    </row>
    <row r="29" ht="15.75" spans="1:10">
      <c r="A29" s="8" t="s">
        <v>97</v>
      </c>
      <c r="B29" s="8" t="s">
        <v>98</v>
      </c>
      <c r="C29" s="8" t="s">
        <v>33</v>
      </c>
      <c r="D29" s="8" t="s">
        <v>21</v>
      </c>
      <c r="E29" s="8">
        <v>3899.78</v>
      </c>
      <c r="F29" s="8">
        <v>7</v>
      </c>
      <c r="G29" s="8">
        <v>0.08</v>
      </c>
      <c r="H29" s="8">
        <f t="shared" si="0"/>
        <v>25114.5832</v>
      </c>
      <c r="I29" s="8">
        <f t="shared" si="1"/>
        <v>5022.91664</v>
      </c>
      <c r="J29" s="8" t="s">
        <v>99</v>
      </c>
    </row>
    <row r="30" ht="15.75" spans="1:10">
      <c r="A30" s="8" t="s">
        <v>100</v>
      </c>
      <c r="B30" s="8" t="s">
        <v>101</v>
      </c>
      <c r="C30" s="8" t="s">
        <v>37</v>
      </c>
      <c r="D30" s="8" t="s">
        <v>13</v>
      </c>
      <c r="E30" s="8">
        <v>2243.05</v>
      </c>
      <c r="F30" s="8">
        <v>5</v>
      </c>
      <c r="G30" s="8">
        <v>0.04</v>
      </c>
      <c r="H30" s="8">
        <f t="shared" si="0"/>
        <v>10766.64</v>
      </c>
      <c r="I30" s="8">
        <f t="shared" si="1"/>
        <v>2153.328</v>
      </c>
      <c r="J30" s="8" t="s">
        <v>102</v>
      </c>
    </row>
    <row r="31" ht="15.75" spans="1:10">
      <c r="A31" s="8" t="s">
        <v>103</v>
      </c>
      <c r="B31" s="8" t="s">
        <v>104</v>
      </c>
      <c r="C31" s="8" t="s">
        <v>12</v>
      </c>
      <c r="D31" s="8" t="s">
        <v>21</v>
      </c>
      <c r="E31" s="8">
        <v>1505.74</v>
      </c>
      <c r="F31" s="8">
        <v>6</v>
      </c>
      <c r="G31" s="8">
        <v>0.2</v>
      </c>
      <c r="H31" s="8">
        <f t="shared" si="0"/>
        <v>7227.552</v>
      </c>
      <c r="I31" s="8">
        <f t="shared" si="1"/>
        <v>1445.5104</v>
      </c>
      <c r="J31" s="8" t="s">
        <v>105</v>
      </c>
    </row>
    <row r="32" ht="15.75" spans="1:10">
      <c r="A32" s="8" t="s">
        <v>106</v>
      </c>
      <c r="B32" s="8" t="s">
        <v>57</v>
      </c>
      <c r="C32" s="8" t="s">
        <v>12</v>
      </c>
      <c r="D32" s="8" t="s">
        <v>17</v>
      </c>
      <c r="E32" s="8">
        <v>4006.02</v>
      </c>
      <c r="F32" s="8">
        <v>7</v>
      </c>
      <c r="G32" s="8">
        <v>0.19</v>
      </c>
      <c r="H32" s="8">
        <f t="shared" si="0"/>
        <v>22714.1334</v>
      </c>
      <c r="I32" s="8">
        <f t="shared" si="1"/>
        <v>4542.82668</v>
      </c>
      <c r="J32" s="8" t="s">
        <v>107</v>
      </c>
    </row>
    <row r="33" ht="15.75" spans="1:10">
      <c r="A33" s="8" t="s">
        <v>108</v>
      </c>
      <c r="B33" s="8" t="s">
        <v>109</v>
      </c>
      <c r="C33" s="8" t="s">
        <v>12</v>
      </c>
      <c r="D33" s="8" t="s">
        <v>13</v>
      </c>
      <c r="E33" s="8">
        <v>1204.88</v>
      </c>
      <c r="F33" s="8">
        <v>2</v>
      </c>
      <c r="G33" s="8">
        <v>0.12</v>
      </c>
      <c r="H33" s="8">
        <f t="shared" si="0"/>
        <v>2120.5888</v>
      </c>
      <c r="I33" s="8">
        <f t="shared" si="1"/>
        <v>424.11776</v>
      </c>
      <c r="J33" s="8" t="s">
        <v>110</v>
      </c>
    </row>
    <row r="34" ht="15.75" spans="1:10">
      <c r="A34" s="8" t="s">
        <v>111</v>
      </c>
      <c r="B34" s="8" t="s">
        <v>112</v>
      </c>
      <c r="C34" s="8" t="s">
        <v>33</v>
      </c>
      <c r="D34" s="8" t="s">
        <v>21</v>
      </c>
      <c r="E34" s="8">
        <v>662.78</v>
      </c>
      <c r="F34" s="8">
        <v>4</v>
      </c>
      <c r="G34" s="8">
        <v>0.17</v>
      </c>
      <c r="H34" s="8">
        <f t="shared" si="0"/>
        <v>2200.4296</v>
      </c>
      <c r="I34" s="8">
        <f t="shared" si="1"/>
        <v>440.08592</v>
      </c>
      <c r="J34" s="8" t="s">
        <v>113</v>
      </c>
    </row>
    <row r="35" ht="15.75" spans="1:10">
      <c r="A35" s="8" t="s">
        <v>114</v>
      </c>
      <c r="B35" s="8" t="s">
        <v>115</v>
      </c>
      <c r="C35" s="8" t="s">
        <v>12</v>
      </c>
      <c r="D35" s="8" t="s">
        <v>13</v>
      </c>
      <c r="E35" s="8">
        <v>2416.3</v>
      </c>
      <c r="F35" s="8">
        <v>1</v>
      </c>
      <c r="G35" s="8">
        <v>0.06</v>
      </c>
      <c r="H35" s="8">
        <f t="shared" si="0"/>
        <v>2271.322</v>
      </c>
      <c r="I35" s="8">
        <f t="shared" si="1"/>
        <v>454.2644</v>
      </c>
      <c r="J35" s="8" t="s">
        <v>116</v>
      </c>
    </row>
    <row r="36" ht="15.75" spans="1:10">
      <c r="A36" s="8" t="s">
        <v>117</v>
      </c>
      <c r="B36" s="8" t="s">
        <v>118</v>
      </c>
      <c r="C36" s="8" t="s">
        <v>29</v>
      </c>
      <c r="D36" s="8" t="s">
        <v>17</v>
      </c>
      <c r="E36" s="8">
        <v>1365.41</v>
      </c>
      <c r="F36" s="8">
        <v>2</v>
      </c>
      <c r="G36" s="8">
        <v>0.1</v>
      </c>
      <c r="H36" s="8">
        <f t="shared" si="0"/>
        <v>2457.738</v>
      </c>
      <c r="I36" s="8">
        <f t="shared" si="1"/>
        <v>491.5476</v>
      </c>
      <c r="J36" s="8" t="s">
        <v>119</v>
      </c>
    </row>
    <row r="37" ht="15.75" spans="1:10">
      <c r="A37" s="8" t="s">
        <v>120</v>
      </c>
      <c r="B37" s="8" t="s">
        <v>121</v>
      </c>
      <c r="C37" s="8" t="s">
        <v>12</v>
      </c>
      <c r="D37" s="8" t="s">
        <v>67</v>
      </c>
      <c r="E37" s="8">
        <v>3641.81</v>
      </c>
      <c r="F37" s="8">
        <v>1</v>
      </c>
      <c r="G37" s="8">
        <v>0.17</v>
      </c>
      <c r="H37" s="8">
        <f t="shared" si="0"/>
        <v>3022.7023</v>
      </c>
      <c r="I37" s="8">
        <f t="shared" si="1"/>
        <v>604.54046</v>
      </c>
      <c r="J37" s="8" t="s">
        <v>122</v>
      </c>
    </row>
    <row r="38" ht="15.75" spans="1:10">
      <c r="A38" s="8" t="s">
        <v>123</v>
      </c>
      <c r="B38" s="8" t="s">
        <v>124</v>
      </c>
      <c r="C38" s="8" t="s">
        <v>37</v>
      </c>
      <c r="D38" s="8" t="s">
        <v>25</v>
      </c>
      <c r="E38" s="8">
        <v>2910.7</v>
      </c>
      <c r="F38" s="8">
        <v>4</v>
      </c>
      <c r="G38" s="8">
        <v>0.06</v>
      </c>
      <c r="H38" s="8">
        <f t="shared" si="0"/>
        <v>10944.232</v>
      </c>
      <c r="I38" s="8">
        <f t="shared" si="1"/>
        <v>2188.8464</v>
      </c>
      <c r="J38" s="8" t="s">
        <v>125</v>
      </c>
    </row>
    <row r="39" ht="15.75" spans="1:10">
      <c r="A39" s="8" t="s">
        <v>126</v>
      </c>
      <c r="B39" s="8" t="s">
        <v>127</v>
      </c>
      <c r="C39" s="8" t="s">
        <v>33</v>
      </c>
      <c r="D39" s="8" t="s">
        <v>21</v>
      </c>
      <c r="E39" s="8">
        <v>1915.04</v>
      </c>
      <c r="F39" s="8">
        <v>3</v>
      </c>
      <c r="G39" s="8">
        <v>0.13</v>
      </c>
      <c r="H39" s="8">
        <f t="shared" si="0"/>
        <v>4998.2544</v>
      </c>
      <c r="I39" s="8">
        <f t="shared" si="1"/>
        <v>999.65088</v>
      </c>
      <c r="J39" s="8" t="s">
        <v>128</v>
      </c>
    </row>
    <row r="40" ht="15.75" spans="1:10">
      <c r="A40" s="8" t="s">
        <v>129</v>
      </c>
      <c r="B40" s="8" t="s">
        <v>130</v>
      </c>
      <c r="C40" s="8" t="s">
        <v>29</v>
      </c>
      <c r="D40" s="8" t="s">
        <v>17</v>
      </c>
      <c r="E40" s="8">
        <v>3264.44</v>
      </c>
      <c r="F40" s="8">
        <v>2</v>
      </c>
      <c r="G40" s="8">
        <v>0.2</v>
      </c>
      <c r="H40" s="8">
        <f t="shared" si="0"/>
        <v>5223.104</v>
      </c>
      <c r="I40" s="8">
        <f t="shared" si="1"/>
        <v>1044.6208</v>
      </c>
      <c r="J40" s="8" t="s">
        <v>131</v>
      </c>
    </row>
    <row r="41" ht="15.75" spans="1:10">
      <c r="A41" s="8" t="s">
        <v>132</v>
      </c>
      <c r="B41" s="8" t="s">
        <v>85</v>
      </c>
      <c r="C41" s="8" t="s">
        <v>29</v>
      </c>
      <c r="D41" s="8" t="s">
        <v>25</v>
      </c>
      <c r="E41" s="8">
        <v>4466.1</v>
      </c>
      <c r="F41" s="8">
        <v>3</v>
      </c>
      <c r="G41" s="8">
        <v>0.08</v>
      </c>
      <c r="H41" s="8">
        <f t="shared" si="0"/>
        <v>12326.436</v>
      </c>
      <c r="I41" s="8">
        <f t="shared" si="1"/>
        <v>2465.2872</v>
      </c>
      <c r="J41" s="8" t="s">
        <v>133</v>
      </c>
    </row>
    <row r="42" ht="15.75" spans="1:10">
      <c r="A42" s="8" t="s">
        <v>134</v>
      </c>
      <c r="B42" s="8" t="s">
        <v>135</v>
      </c>
      <c r="C42" s="8" t="s">
        <v>29</v>
      </c>
      <c r="D42" s="8" t="s">
        <v>67</v>
      </c>
      <c r="E42" s="8">
        <v>4015.27</v>
      </c>
      <c r="F42" s="8">
        <v>7</v>
      </c>
      <c r="G42" s="8">
        <v>0.17</v>
      </c>
      <c r="H42" s="8">
        <f t="shared" si="0"/>
        <v>23328.7187</v>
      </c>
      <c r="I42" s="8">
        <f t="shared" si="1"/>
        <v>4665.74374</v>
      </c>
      <c r="J42" s="8" t="s">
        <v>136</v>
      </c>
    </row>
    <row r="43" ht="15.75" spans="1:10">
      <c r="A43" s="8" t="s">
        <v>137</v>
      </c>
      <c r="B43" s="8" t="s">
        <v>138</v>
      </c>
      <c r="C43" s="8" t="s">
        <v>37</v>
      </c>
      <c r="D43" s="8" t="s">
        <v>17</v>
      </c>
      <c r="E43" s="8">
        <v>4243.16</v>
      </c>
      <c r="F43" s="8">
        <v>3</v>
      </c>
      <c r="G43" s="8">
        <v>0.05</v>
      </c>
      <c r="H43" s="8">
        <f t="shared" si="0"/>
        <v>12093.006</v>
      </c>
      <c r="I43" s="8">
        <f t="shared" si="1"/>
        <v>2418.6012</v>
      </c>
      <c r="J43" s="8" t="s">
        <v>139</v>
      </c>
    </row>
    <row r="44" ht="15.75" spans="1:10">
      <c r="A44" s="8" t="s">
        <v>140</v>
      </c>
      <c r="B44" s="8" t="s">
        <v>141</v>
      </c>
      <c r="C44" s="8" t="s">
        <v>37</v>
      </c>
      <c r="D44" s="8" t="s">
        <v>67</v>
      </c>
      <c r="E44" s="8">
        <v>3842.29</v>
      </c>
      <c r="F44" s="8">
        <v>4</v>
      </c>
      <c r="G44" s="8">
        <v>0.12</v>
      </c>
      <c r="H44" s="8">
        <f t="shared" si="0"/>
        <v>13524.8608</v>
      </c>
      <c r="I44" s="8">
        <f t="shared" si="1"/>
        <v>2704.97216</v>
      </c>
      <c r="J44" s="8" t="s">
        <v>142</v>
      </c>
    </row>
    <row r="45" ht="15.75" spans="1:10">
      <c r="A45" s="8" t="s">
        <v>143</v>
      </c>
      <c r="B45" s="8" t="s">
        <v>144</v>
      </c>
      <c r="C45" s="8" t="s">
        <v>12</v>
      </c>
      <c r="D45" s="8" t="s">
        <v>17</v>
      </c>
      <c r="E45" s="8">
        <v>3999.36</v>
      </c>
      <c r="F45" s="8">
        <v>7</v>
      </c>
      <c r="G45" s="8">
        <v>0.09</v>
      </c>
      <c r="H45" s="8">
        <f t="shared" si="0"/>
        <v>25475.9232</v>
      </c>
      <c r="I45" s="8">
        <f t="shared" si="1"/>
        <v>5095.18464</v>
      </c>
      <c r="J45" s="8" t="s">
        <v>145</v>
      </c>
    </row>
    <row r="46" ht="15.75" spans="1:10">
      <c r="A46" s="8" t="s">
        <v>146</v>
      </c>
      <c r="B46" s="8" t="s">
        <v>118</v>
      </c>
      <c r="C46" s="8" t="s">
        <v>33</v>
      </c>
      <c r="D46" s="8" t="s">
        <v>25</v>
      </c>
      <c r="E46" s="8">
        <v>3195.68</v>
      </c>
      <c r="F46" s="8">
        <v>6</v>
      </c>
      <c r="G46" s="8">
        <v>0.01</v>
      </c>
      <c r="H46" s="8">
        <f t="shared" si="0"/>
        <v>18982.3392</v>
      </c>
      <c r="I46" s="8">
        <f t="shared" si="1"/>
        <v>3796.46784</v>
      </c>
      <c r="J46" s="8" t="s">
        <v>122</v>
      </c>
    </row>
    <row r="47" ht="15.75" spans="1:10">
      <c r="A47" s="8" t="s">
        <v>147</v>
      </c>
      <c r="B47" s="8" t="s">
        <v>130</v>
      </c>
      <c r="C47" s="8" t="s">
        <v>29</v>
      </c>
      <c r="D47" s="8" t="s">
        <v>21</v>
      </c>
      <c r="E47" s="8">
        <v>2717.89</v>
      </c>
      <c r="F47" s="8">
        <v>3</v>
      </c>
      <c r="G47" s="8">
        <v>0.04</v>
      </c>
      <c r="H47" s="8">
        <f t="shared" si="0"/>
        <v>7827.5232</v>
      </c>
      <c r="I47" s="8">
        <f t="shared" si="1"/>
        <v>1565.50464</v>
      </c>
      <c r="J47" s="8" t="s">
        <v>148</v>
      </c>
    </row>
    <row r="48" ht="15.75" spans="1:10">
      <c r="A48" s="8" t="s">
        <v>149</v>
      </c>
      <c r="B48" s="8" t="s">
        <v>88</v>
      </c>
      <c r="C48" s="8" t="s">
        <v>29</v>
      </c>
      <c r="D48" s="8" t="s">
        <v>13</v>
      </c>
      <c r="E48" s="8">
        <v>4944.46</v>
      </c>
      <c r="F48" s="8">
        <v>4</v>
      </c>
      <c r="G48" s="8">
        <v>0.08</v>
      </c>
      <c r="H48" s="8">
        <f t="shared" si="0"/>
        <v>18195.6128</v>
      </c>
      <c r="I48" s="8">
        <f t="shared" si="1"/>
        <v>3639.12256</v>
      </c>
      <c r="J48" s="8" t="s">
        <v>150</v>
      </c>
    </row>
    <row r="49" ht="15.75" spans="1:10">
      <c r="A49" s="8" t="s">
        <v>151</v>
      </c>
      <c r="B49" s="8" t="s">
        <v>135</v>
      </c>
      <c r="C49" s="8" t="s">
        <v>29</v>
      </c>
      <c r="D49" s="8" t="s">
        <v>17</v>
      </c>
      <c r="E49" s="8">
        <v>3850.09</v>
      </c>
      <c r="F49" s="8">
        <v>2</v>
      </c>
      <c r="G49" s="8">
        <v>0.05</v>
      </c>
      <c r="H49" s="8">
        <f t="shared" si="0"/>
        <v>7315.171</v>
      </c>
      <c r="I49" s="8">
        <f t="shared" si="1"/>
        <v>1463.0342</v>
      </c>
      <c r="J49" s="8" t="s">
        <v>152</v>
      </c>
    </row>
    <row r="50" ht="15.75" spans="1:10">
      <c r="A50" s="8" t="s">
        <v>153</v>
      </c>
      <c r="B50" s="8" t="s">
        <v>28</v>
      </c>
      <c r="C50" s="8" t="s">
        <v>37</v>
      </c>
      <c r="D50" s="8" t="s">
        <v>21</v>
      </c>
      <c r="E50" s="8">
        <v>3217.77</v>
      </c>
      <c r="F50" s="8">
        <v>3</v>
      </c>
      <c r="G50" s="8">
        <v>0.17</v>
      </c>
      <c r="H50" s="8">
        <f t="shared" si="0"/>
        <v>8012.2473</v>
      </c>
      <c r="I50" s="8">
        <f t="shared" si="1"/>
        <v>1602.44946</v>
      </c>
      <c r="J50" s="8" t="s">
        <v>154</v>
      </c>
    </row>
    <row r="51" ht="15.75" spans="1:10">
      <c r="A51" s="8" t="s">
        <v>155</v>
      </c>
      <c r="B51" s="8" t="s">
        <v>73</v>
      </c>
      <c r="C51" s="8" t="s">
        <v>29</v>
      </c>
      <c r="D51" s="8" t="s">
        <v>21</v>
      </c>
      <c r="E51" s="8">
        <v>1082.38</v>
      </c>
      <c r="F51" s="8">
        <v>8</v>
      </c>
      <c r="G51" s="8">
        <v>0.15</v>
      </c>
      <c r="H51" s="8">
        <f t="shared" si="0"/>
        <v>7360.184</v>
      </c>
      <c r="I51" s="8">
        <f t="shared" si="1"/>
        <v>1472.0368</v>
      </c>
      <c r="J51" s="8" t="s">
        <v>156</v>
      </c>
    </row>
    <row r="52" ht="15.75" spans="1:10">
      <c r="A52" s="8" t="s">
        <v>157</v>
      </c>
      <c r="B52" s="8" t="s">
        <v>158</v>
      </c>
      <c r="C52" s="8" t="s">
        <v>37</v>
      </c>
      <c r="D52" s="8" t="s">
        <v>67</v>
      </c>
      <c r="E52" s="8">
        <v>2251.56</v>
      </c>
      <c r="F52" s="8">
        <v>7</v>
      </c>
      <c r="G52" s="8">
        <v>0.09</v>
      </c>
      <c r="H52" s="8">
        <f t="shared" si="0"/>
        <v>14342.4372</v>
      </c>
      <c r="I52" s="8">
        <f t="shared" si="1"/>
        <v>2868.48744</v>
      </c>
      <c r="J52" s="8" t="s">
        <v>159</v>
      </c>
    </row>
    <row r="53" ht="15.75" spans="1:10">
      <c r="A53" s="8" t="s">
        <v>160</v>
      </c>
      <c r="B53" s="8" t="s">
        <v>161</v>
      </c>
      <c r="C53" s="8" t="s">
        <v>12</v>
      </c>
      <c r="D53" s="8" t="s">
        <v>13</v>
      </c>
      <c r="E53" s="8">
        <v>2541.36</v>
      </c>
      <c r="F53" s="8">
        <v>3</v>
      </c>
      <c r="G53" s="8">
        <v>0.17</v>
      </c>
      <c r="H53" s="8">
        <f t="shared" si="0"/>
        <v>6327.9864</v>
      </c>
      <c r="I53" s="8">
        <f t="shared" si="1"/>
        <v>1265.59728</v>
      </c>
      <c r="J53" s="8" t="s">
        <v>162</v>
      </c>
    </row>
    <row r="54" ht="15.75" spans="1:10">
      <c r="A54" s="8" t="s">
        <v>163</v>
      </c>
      <c r="B54" s="8" t="s">
        <v>63</v>
      </c>
      <c r="C54" s="8" t="s">
        <v>12</v>
      </c>
      <c r="D54" s="8" t="s">
        <v>25</v>
      </c>
      <c r="E54" s="8">
        <v>2420.62</v>
      </c>
      <c r="F54" s="8">
        <v>8</v>
      </c>
      <c r="G54" s="8">
        <v>0.09</v>
      </c>
      <c r="H54" s="8">
        <f t="shared" si="0"/>
        <v>17622.1136</v>
      </c>
      <c r="I54" s="8">
        <f t="shared" si="1"/>
        <v>3524.42272</v>
      </c>
      <c r="J54" s="8" t="s">
        <v>164</v>
      </c>
    </row>
    <row r="55" ht="15.75" spans="1:10">
      <c r="A55" s="8" t="s">
        <v>165</v>
      </c>
      <c r="B55" s="8" t="s">
        <v>166</v>
      </c>
      <c r="C55" s="8" t="s">
        <v>37</v>
      </c>
      <c r="D55" s="8" t="s">
        <v>13</v>
      </c>
      <c r="E55" s="8">
        <v>3152.22</v>
      </c>
      <c r="F55" s="8">
        <v>2</v>
      </c>
      <c r="G55" s="8">
        <v>0.15</v>
      </c>
      <c r="H55" s="8">
        <f t="shared" si="0"/>
        <v>5358.774</v>
      </c>
      <c r="I55" s="8">
        <f t="shared" si="1"/>
        <v>1071.7548</v>
      </c>
      <c r="J55" s="8" t="s">
        <v>167</v>
      </c>
    </row>
    <row r="56" ht="15.75" spans="1:10">
      <c r="A56" s="8" t="s">
        <v>168</v>
      </c>
      <c r="B56" s="8" t="s">
        <v>169</v>
      </c>
      <c r="C56" s="8" t="s">
        <v>12</v>
      </c>
      <c r="D56" s="8" t="s">
        <v>17</v>
      </c>
      <c r="E56" s="8">
        <v>4282.52</v>
      </c>
      <c r="F56" s="8">
        <v>8</v>
      </c>
      <c r="G56" s="8">
        <v>0.06</v>
      </c>
      <c r="H56" s="8">
        <f t="shared" si="0"/>
        <v>32204.5504</v>
      </c>
      <c r="I56" s="8">
        <f t="shared" si="1"/>
        <v>6440.91008</v>
      </c>
      <c r="J56" s="8" t="s">
        <v>170</v>
      </c>
    </row>
    <row r="57" ht="15.75" spans="1:10">
      <c r="A57" s="8" t="s">
        <v>171</v>
      </c>
      <c r="B57" s="8" t="s">
        <v>135</v>
      </c>
      <c r="C57" s="8" t="s">
        <v>37</v>
      </c>
      <c r="D57" s="8" t="s">
        <v>13</v>
      </c>
      <c r="E57" s="8">
        <v>4821.3</v>
      </c>
      <c r="F57" s="8">
        <v>1</v>
      </c>
      <c r="G57" s="8">
        <v>0.09</v>
      </c>
      <c r="H57" s="8">
        <f t="shared" si="0"/>
        <v>4387.383</v>
      </c>
      <c r="I57" s="8">
        <f t="shared" si="1"/>
        <v>877.4766</v>
      </c>
      <c r="J57" s="8" t="s">
        <v>172</v>
      </c>
    </row>
    <row r="58" ht="15.75" spans="1:10">
      <c r="A58" s="8" t="s">
        <v>173</v>
      </c>
      <c r="B58" s="8" t="s">
        <v>174</v>
      </c>
      <c r="C58" s="8" t="s">
        <v>37</v>
      </c>
      <c r="D58" s="8" t="s">
        <v>13</v>
      </c>
      <c r="E58" s="8">
        <v>1595.72</v>
      </c>
      <c r="F58" s="8">
        <v>1</v>
      </c>
      <c r="G58" s="8">
        <v>0.02</v>
      </c>
      <c r="H58" s="8">
        <f t="shared" si="0"/>
        <v>1563.8056</v>
      </c>
      <c r="I58" s="8">
        <f t="shared" si="1"/>
        <v>312.76112</v>
      </c>
      <c r="J58" s="8" t="s">
        <v>175</v>
      </c>
    </row>
    <row r="59" ht="15.75" spans="1:10">
      <c r="A59" s="8" t="s">
        <v>176</v>
      </c>
      <c r="B59" s="8" t="s">
        <v>57</v>
      </c>
      <c r="C59" s="8" t="s">
        <v>33</v>
      </c>
      <c r="D59" s="8" t="s">
        <v>21</v>
      </c>
      <c r="E59" s="8">
        <v>4526.3</v>
      </c>
      <c r="F59" s="8">
        <v>3</v>
      </c>
      <c r="G59" s="8">
        <v>0.13</v>
      </c>
      <c r="H59" s="8">
        <f t="shared" si="0"/>
        <v>11813.643</v>
      </c>
      <c r="I59" s="8">
        <f t="shared" si="1"/>
        <v>2362.7286</v>
      </c>
      <c r="J59" s="8" t="s">
        <v>177</v>
      </c>
    </row>
    <row r="60" ht="15.75" spans="1:10">
      <c r="A60" s="8" t="s">
        <v>178</v>
      </c>
      <c r="B60" s="8" t="s">
        <v>11</v>
      </c>
      <c r="C60" s="8" t="s">
        <v>12</v>
      </c>
      <c r="D60" s="8" t="s">
        <v>17</v>
      </c>
      <c r="E60" s="8">
        <v>4807.03</v>
      </c>
      <c r="F60" s="8">
        <v>6</v>
      </c>
      <c r="G60" s="8">
        <v>0.09</v>
      </c>
      <c r="H60" s="8">
        <f t="shared" si="0"/>
        <v>26246.3838</v>
      </c>
      <c r="I60" s="8">
        <f t="shared" si="1"/>
        <v>5249.27676</v>
      </c>
      <c r="J60" s="8" t="s">
        <v>179</v>
      </c>
    </row>
    <row r="61" ht="15.75" spans="1:10">
      <c r="A61" s="8" t="s">
        <v>180</v>
      </c>
      <c r="B61" s="8" t="s">
        <v>181</v>
      </c>
      <c r="C61" s="8" t="s">
        <v>33</v>
      </c>
      <c r="D61" s="8" t="s">
        <v>13</v>
      </c>
      <c r="E61" s="8">
        <v>2672.85</v>
      </c>
      <c r="F61" s="8">
        <v>6</v>
      </c>
      <c r="G61" s="8">
        <v>0.16</v>
      </c>
      <c r="H61" s="8">
        <f t="shared" si="0"/>
        <v>13471.164</v>
      </c>
      <c r="I61" s="8">
        <f t="shared" si="1"/>
        <v>2694.2328</v>
      </c>
      <c r="J61" s="8" t="s">
        <v>182</v>
      </c>
    </row>
    <row r="62" ht="15.75" spans="1:10">
      <c r="A62" s="8" t="s">
        <v>183</v>
      </c>
      <c r="B62" s="8" t="s">
        <v>45</v>
      </c>
      <c r="C62" s="8" t="s">
        <v>37</v>
      </c>
      <c r="D62" s="8" t="s">
        <v>67</v>
      </c>
      <c r="E62" s="8">
        <v>784.23</v>
      </c>
      <c r="F62" s="8">
        <v>2</v>
      </c>
      <c r="G62" s="8">
        <v>0.1</v>
      </c>
      <c r="H62" s="8">
        <f t="shared" si="0"/>
        <v>1411.614</v>
      </c>
      <c r="I62" s="8">
        <f t="shared" si="1"/>
        <v>282.3228</v>
      </c>
      <c r="J62" s="8" t="s">
        <v>184</v>
      </c>
    </row>
    <row r="63" ht="15.75" spans="1:10">
      <c r="A63" s="8" t="s">
        <v>185</v>
      </c>
      <c r="B63" s="8" t="s">
        <v>186</v>
      </c>
      <c r="C63" s="8" t="s">
        <v>33</v>
      </c>
      <c r="D63" s="8" t="s">
        <v>25</v>
      </c>
      <c r="E63" s="8">
        <v>365.23</v>
      </c>
      <c r="F63" s="8">
        <v>8</v>
      </c>
      <c r="G63" s="8">
        <v>0.05</v>
      </c>
      <c r="H63" s="8">
        <f t="shared" si="0"/>
        <v>2775.748</v>
      </c>
      <c r="I63" s="8">
        <f t="shared" si="1"/>
        <v>555.1496</v>
      </c>
      <c r="J63" s="8" t="s">
        <v>187</v>
      </c>
    </row>
    <row r="64" ht="15.75" spans="1:10">
      <c r="A64" s="8" t="s">
        <v>188</v>
      </c>
      <c r="B64" s="8" t="s">
        <v>91</v>
      </c>
      <c r="C64" s="8" t="s">
        <v>33</v>
      </c>
      <c r="D64" s="8" t="s">
        <v>17</v>
      </c>
      <c r="E64" s="8">
        <v>957.69</v>
      </c>
      <c r="F64" s="8">
        <v>9</v>
      </c>
      <c r="G64" s="8">
        <v>0.13</v>
      </c>
      <c r="H64" s="8">
        <f t="shared" si="0"/>
        <v>7498.7127</v>
      </c>
      <c r="I64" s="8">
        <f t="shared" si="1"/>
        <v>1499.74254</v>
      </c>
      <c r="J64" s="8" t="s">
        <v>189</v>
      </c>
    </row>
    <row r="65" ht="15.75" spans="1:10">
      <c r="A65" s="8" t="s">
        <v>190</v>
      </c>
      <c r="B65" s="8" t="s">
        <v>191</v>
      </c>
      <c r="C65" s="8" t="s">
        <v>37</v>
      </c>
      <c r="D65" s="8" t="s">
        <v>13</v>
      </c>
      <c r="E65" s="8">
        <v>948.18</v>
      </c>
      <c r="F65" s="8">
        <v>7</v>
      </c>
      <c r="G65" s="8">
        <v>0.05</v>
      </c>
      <c r="H65" s="8">
        <f t="shared" si="0"/>
        <v>6305.397</v>
      </c>
      <c r="I65" s="8">
        <f t="shared" si="1"/>
        <v>1261.0794</v>
      </c>
      <c r="J65" s="8" t="s">
        <v>192</v>
      </c>
    </row>
    <row r="66" ht="15.75" spans="1:10">
      <c r="A66" s="8" t="s">
        <v>193</v>
      </c>
      <c r="B66" s="8" t="s">
        <v>181</v>
      </c>
      <c r="C66" s="8" t="s">
        <v>29</v>
      </c>
      <c r="D66" s="8" t="s">
        <v>21</v>
      </c>
      <c r="E66" s="8">
        <v>1690.5</v>
      </c>
      <c r="F66" s="8">
        <v>3</v>
      </c>
      <c r="G66" s="8">
        <v>0.01</v>
      </c>
      <c r="H66" s="8">
        <f t="shared" ref="H66:H129" si="2">E66*F66*(1-G66)</f>
        <v>5020.785</v>
      </c>
      <c r="I66" s="8">
        <f t="shared" ref="I66:I129" si="3">H66*0.2</f>
        <v>1004.157</v>
      </c>
      <c r="J66" s="8" t="s">
        <v>18</v>
      </c>
    </row>
    <row r="67" ht="15.75" spans="1:10">
      <c r="A67" s="8" t="s">
        <v>194</v>
      </c>
      <c r="B67" s="8" t="s">
        <v>121</v>
      </c>
      <c r="C67" s="8" t="s">
        <v>29</v>
      </c>
      <c r="D67" s="8" t="s">
        <v>25</v>
      </c>
      <c r="E67" s="8">
        <v>3257.61</v>
      </c>
      <c r="F67" s="8">
        <v>2</v>
      </c>
      <c r="G67" s="8">
        <v>0.18</v>
      </c>
      <c r="H67" s="8">
        <f t="shared" si="2"/>
        <v>5342.4804</v>
      </c>
      <c r="I67" s="8">
        <f t="shared" si="3"/>
        <v>1068.49608</v>
      </c>
      <c r="J67" s="8" t="s">
        <v>195</v>
      </c>
    </row>
    <row r="68" ht="15.75" spans="1:10">
      <c r="A68" s="8" t="s">
        <v>196</v>
      </c>
      <c r="B68" s="8" t="s">
        <v>197</v>
      </c>
      <c r="C68" s="8" t="s">
        <v>33</v>
      </c>
      <c r="D68" s="8" t="s">
        <v>21</v>
      </c>
      <c r="E68" s="8">
        <v>3373.33</v>
      </c>
      <c r="F68" s="8">
        <v>2</v>
      </c>
      <c r="G68" s="8">
        <v>0.01</v>
      </c>
      <c r="H68" s="8">
        <f t="shared" si="2"/>
        <v>6679.1934</v>
      </c>
      <c r="I68" s="8">
        <f t="shared" si="3"/>
        <v>1335.83868</v>
      </c>
      <c r="J68" s="8" t="s">
        <v>198</v>
      </c>
    </row>
    <row r="69" ht="15.75" spans="1:10">
      <c r="A69" s="8" t="s">
        <v>199</v>
      </c>
      <c r="B69" s="8" t="s">
        <v>200</v>
      </c>
      <c r="C69" s="8" t="s">
        <v>37</v>
      </c>
      <c r="D69" s="8" t="s">
        <v>17</v>
      </c>
      <c r="E69" s="8">
        <v>4613.14</v>
      </c>
      <c r="F69" s="8">
        <v>6</v>
      </c>
      <c r="G69" s="8">
        <v>0.19</v>
      </c>
      <c r="H69" s="8">
        <f t="shared" si="2"/>
        <v>22419.8604</v>
      </c>
      <c r="I69" s="8">
        <f t="shared" si="3"/>
        <v>4483.97208</v>
      </c>
      <c r="J69" s="8" t="s">
        <v>201</v>
      </c>
    </row>
    <row r="70" ht="15.75" spans="1:10">
      <c r="A70" s="8" t="s">
        <v>202</v>
      </c>
      <c r="B70" s="8" t="s">
        <v>203</v>
      </c>
      <c r="C70" s="8" t="s">
        <v>33</v>
      </c>
      <c r="D70" s="8" t="s">
        <v>17</v>
      </c>
      <c r="E70" s="8">
        <v>4746.66</v>
      </c>
      <c r="F70" s="8">
        <v>4</v>
      </c>
      <c r="G70" s="8">
        <v>0.08</v>
      </c>
      <c r="H70" s="8">
        <f t="shared" si="2"/>
        <v>17467.7088</v>
      </c>
      <c r="I70" s="8">
        <f t="shared" si="3"/>
        <v>3493.54176</v>
      </c>
      <c r="J70" s="8" t="s">
        <v>204</v>
      </c>
    </row>
    <row r="71" ht="15.75" spans="1:10">
      <c r="A71" s="8" t="s">
        <v>205</v>
      </c>
      <c r="B71" s="8" t="s">
        <v>206</v>
      </c>
      <c r="C71" s="8" t="s">
        <v>29</v>
      </c>
      <c r="D71" s="8" t="s">
        <v>13</v>
      </c>
      <c r="E71" s="8">
        <v>732.18</v>
      </c>
      <c r="F71" s="8">
        <v>1</v>
      </c>
      <c r="G71" s="8">
        <v>0.1</v>
      </c>
      <c r="H71" s="8">
        <f t="shared" si="2"/>
        <v>658.962</v>
      </c>
      <c r="I71" s="8">
        <f t="shared" si="3"/>
        <v>131.7924</v>
      </c>
      <c r="J71" s="8" t="s">
        <v>207</v>
      </c>
    </row>
    <row r="72" ht="15.75" spans="1:10">
      <c r="A72" s="8" t="s">
        <v>208</v>
      </c>
      <c r="B72" s="8" t="s">
        <v>209</v>
      </c>
      <c r="C72" s="8" t="s">
        <v>33</v>
      </c>
      <c r="D72" s="8" t="s">
        <v>25</v>
      </c>
      <c r="E72" s="8">
        <v>3723.07</v>
      </c>
      <c r="F72" s="8">
        <v>3</v>
      </c>
      <c r="G72" s="8">
        <v>0.18</v>
      </c>
      <c r="H72" s="8">
        <f t="shared" si="2"/>
        <v>9158.7522</v>
      </c>
      <c r="I72" s="8">
        <f t="shared" si="3"/>
        <v>1831.75044</v>
      </c>
      <c r="J72" s="8" t="s">
        <v>210</v>
      </c>
    </row>
    <row r="73" ht="15.75" spans="1:10">
      <c r="A73" s="8" t="s">
        <v>211</v>
      </c>
      <c r="B73" s="8" t="s">
        <v>115</v>
      </c>
      <c r="C73" s="8" t="s">
        <v>29</v>
      </c>
      <c r="D73" s="8" t="s">
        <v>17</v>
      </c>
      <c r="E73" s="8">
        <v>480.03</v>
      </c>
      <c r="F73" s="8">
        <v>9</v>
      </c>
      <c r="G73" s="8">
        <v>0.2</v>
      </c>
      <c r="H73" s="8">
        <f t="shared" si="2"/>
        <v>3456.216</v>
      </c>
      <c r="I73" s="8">
        <f t="shared" si="3"/>
        <v>691.2432</v>
      </c>
      <c r="J73" s="8" t="s">
        <v>212</v>
      </c>
    </row>
    <row r="74" ht="15.75" spans="1:10">
      <c r="A74" s="8" t="s">
        <v>213</v>
      </c>
      <c r="B74" s="8" t="s">
        <v>214</v>
      </c>
      <c r="C74" s="8" t="s">
        <v>29</v>
      </c>
      <c r="D74" s="8" t="s">
        <v>25</v>
      </c>
      <c r="E74" s="8">
        <v>3812.08</v>
      </c>
      <c r="F74" s="8">
        <v>6</v>
      </c>
      <c r="G74" s="8">
        <v>0.19</v>
      </c>
      <c r="H74" s="8">
        <f t="shared" si="2"/>
        <v>18526.7088</v>
      </c>
      <c r="I74" s="8">
        <f t="shared" si="3"/>
        <v>3705.34176</v>
      </c>
      <c r="J74" s="8" t="s">
        <v>215</v>
      </c>
    </row>
    <row r="75" ht="15.75" spans="1:10">
      <c r="A75" s="8" t="s">
        <v>216</v>
      </c>
      <c r="B75" s="8" t="s">
        <v>217</v>
      </c>
      <c r="C75" s="8" t="s">
        <v>37</v>
      </c>
      <c r="D75" s="8" t="s">
        <v>67</v>
      </c>
      <c r="E75" s="8">
        <v>4529.86</v>
      </c>
      <c r="F75" s="8">
        <v>7</v>
      </c>
      <c r="G75" s="8">
        <v>0.11</v>
      </c>
      <c r="H75" s="8">
        <f t="shared" si="2"/>
        <v>28221.0278</v>
      </c>
      <c r="I75" s="8">
        <f t="shared" si="3"/>
        <v>5644.20556</v>
      </c>
      <c r="J75" s="8" t="s">
        <v>218</v>
      </c>
    </row>
    <row r="76" ht="15.75" spans="1:10">
      <c r="A76" s="8" t="s">
        <v>219</v>
      </c>
      <c r="B76" s="8" t="s">
        <v>174</v>
      </c>
      <c r="C76" s="8" t="s">
        <v>12</v>
      </c>
      <c r="D76" s="8" t="s">
        <v>67</v>
      </c>
      <c r="E76" s="8">
        <v>4390.74</v>
      </c>
      <c r="F76" s="8">
        <v>6</v>
      </c>
      <c r="G76" s="8">
        <v>0.1</v>
      </c>
      <c r="H76" s="8">
        <f t="shared" si="2"/>
        <v>23709.996</v>
      </c>
      <c r="I76" s="8">
        <f t="shared" si="3"/>
        <v>4741.9992</v>
      </c>
      <c r="J76" s="8" t="s">
        <v>220</v>
      </c>
    </row>
    <row r="77" ht="15.75" spans="1:10">
      <c r="A77" s="8" t="s">
        <v>221</v>
      </c>
      <c r="B77" s="8" t="s">
        <v>222</v>
      </c>
      <c r="C77" s="8" t="s">
        <v>12</v>
      </c>
      <c r="D77" s="8" t="s">
        <v>17</v>
      </c>
      <c r="E77" s="8">
        <v>313.31</v>
      </c>
      <c r="F77" s="8">
        <v>6</v>
      </c>
      <c r="G77" s="8">
        <v>0.09</v>
      </c>
      <c r="H77" s="8">
        <f t="shared" si="2"/>
        <v>1710.6726</v>
      </c>
      <c r="I77" s="8">
        <f t="shared" si="3"/>
        <v>342.13452</v>
      </c>
      <c r="J77" s="8" t="s">
        <v>86</v>
      </c>
    </row>
    <row r="78" ht="15.75" spans="1:10">
      <c r="A78" s="8" t="s">
        <v>223</v>
      </c>
      <c r="B78" s="8" t="s">
        <v>24</v>
      </c>
      <c r="C78" s="8" t="s">
        <v>33</v>
      </c>
      <c r="D78" s="8" t="s">
        <v>25</v>
      </c>
      <c r="E78" s="8">
        <v>4664.98</v>
      </c>
      <c r="F78" s="8">
        <v>9</v>
      </c>
      <c r="G78" s="8">
        <v>0.17</v>
      </c>
      <c r="H78" s="8">
        <f t="shared" si="2"/>
        <v>34847.4006</v>
      </c>
      <c r="I78" s="8">
        <f t="shared" si="3"/>
        <v>6969.48012</v>
      </c>
      <c r="J78" s="8" t="s">
        <v>224</v>
      </c>
    </row>
    <row r="79" ht="15.75" spans="1:10">
      <c r="A79" s="8" t="s">
        <v>225</v>
      </c>
      <c r="B79" s="8" t="s">
        <v>20</v>
      </c>
      <c r="C79" s="8" t="s">
        <v>37</v>
      </c>
      <c r="D79" s="8" t="s">
        <v>21</v>
      </c>
      <c r="E79" s="8">
        <v>3036.27</v>
      </c>
      <c r="F79" s="8">
        <v>2</v>
      </c>
      <c r="G79" s="8">
        <v>0.08</v>
      </c>
      <c r="H79" s="8">
        <f t="shared" si="2"/>
        <v>5586.7368</v>
      </c>
      <c r="I79" s="8">
        <f t="shared" si="3"/>
        <v>1117.34736</v>
      </c>
      <c r="J79" s="8" t="s">
        <v>226</v>
      </c>
    </row>
    <row r="80" ht="15.75" spans="1:10">
      <c r="A80" s="8" t="s">
        <v>227</v>
      </c>
      <c r="B80" s="8" t="s">
        <v>11</v>
      </c>
      <c r="C80" s="8" t="s">
        <v>29</v>
      </c>
      <c r="D80" s="8" t="s">
        <v>13</v>
      </c>
      <c r="E80" s="8">
        <v>214.72</v>
      </c>
      <c r="F80" s="8">
        <v>2</v>
      </c>
      <c r="G80" s="8">
        <v>0.19</v>
      </c>
      <c r="H80" s="8">
        <f t="shared" si="2"/>
        <v>347.8464</v>
      </c>
      <c r="I80" s="8">
        <f t="shared" si="3"/>
        <v>69.56928</v>
      </c>
      <c r="J80" s="8" t="s">
        <v>105</v>
      </c>
    </row>
    <row r="81" ht="15.75" spans="1:10">
      <c r="A81" s="8" t="s">
        <v>228</v>
      </c>
      <c r="B81" s="8" t="s">
        <v>85</v>
      </c>
      <c r="C81" s="8" t="s">
        <v>33</v>
      </c>
      <c r="D81" s="8" t="s">
        <v>21</v>
      </c>
      <c r="E81" s="8">
        <v>1770.32</v>
      </c>
      <c r="F81" s="8">
        <v>7</v>
      </c>
      <c r="G81" s="8">
        <v>0.08</v>
      </c>
      <c r="H81" s="8">
        <f t="shared" si="2"/>
        <v>11400.8608</v>
      </c>
      <c r="I81" s="8">
        <f t="shared" si="3"/>
        <v>2280.17216</v>
      </c>
      <c r="J81" s="8" t="s">
        <v>229</v>
      </c>
    </row>
    <row r="82" ht="15.75" spans="1:10">
      <c r="A82" s="8" t="s">
        <v>230</v>
      </c>
      <c r="B82" s="8" t="s">
        <v>231</v>
      </c>
      <c r="C82" s="8" t="s">
        <v>29</v>
      </c>
      <c r="D82" s="8" t="s">
        <v>13</v>
      </c>
      <c r="E82" s="8">
        <v>1976.35</v>
      </c>
      <c r="F82" s="8">
        <v>8</v>
      </c>
      <c r="G82" s="8">
        <v>0.09</v>
      </c>
      <c r="H82" s="8">
        <f t="shared" si="2"/>
        <v>14387.828</v>
      </c>
      <c r="I82" s="8">
        <f t="shared" si="3"/>
        <v>2877.5656</v>
      </c>
      <c r="J82" s="8" t="s">
        <v>172</v>
      </c>
    </row>
    <row r="83" ht="15.75" spans="1:10">
      <c r="A83" s="8" t="s">
        <v>232</v>
      </c>
      <c r="B83" s="8" t="s">
        <v>186</v>
      </c>
      <c r="C83" s="8" t="s">
        <v>37</v>
      </c>
      <c r="D83" s="8" t="s">
        <v>25</v>
      </c>
      <c r="E83" s="8">
        <v>1930.45</v>
      </c>
      <c r="F83" s="8">
        <v>8</v>
      </c>
      <c r="G83" s="8">
        <v>0.02</v>
      </c>
      <c r="H83" s="8">
        <f t="shared" si="2"/>
        <v>15134.728</v>
      </c>
      <c r="I83" s="8">
        <f t="shared" si="3"/>
        <v>3026.9456</v>
      </c>
      <c r="J83" s="8" t="s">
        <v>233</v>
      </c>
    </row>
    <row r="84" ht="15.75" spans="1:10">
      <c r="A84" s="8" t="s">
        <v>234</v>
      </c>
      <c r="B84" s="8" t="s">
        <v>98</v>
      </c>
      <c r="C84" s="8" t="s">
        <v>12</v>
      </c>
      <c r="D84" s="8" t="s">
        <v>25</v>
      </c>
      <c r="E84" s="8">
        <v>2688.53</v>
      </c>
      <c r="F84" s="8">
        <v>1</v>
      </c>
      <c r="G84" s="8">
        <v>0.1</v>
      </c>
      <c r="H84" s="8">
        <f t="shared" si="2"/>
        <v>2419.677</v>
      </c>
      <c r="I84" s="8">
        <f t="shared" si="3"/>
        <v>483.9354</v>
      </c>
      <c r="J84" s="8" t="s">
        <v>198</v>
      </c>
    </row>
    <row r="85" ht="15.75" spans="1:10">
      <c r="A85" s="8" t="s">
        <v>235</v>
      </c>
      <c r="B85" s="8" t="s">
        <v>236</v>
      </c>
      <c r="C85" s="8" t="s">
        <v>37</v>
      </c>
      <c r="D85" s="8" t="s">
        <v>17</v>
      </c>
      <c r="E85" s="8">
        <v>733.14</v>
      </c>
      <c r="F85" s="8">
        <v>3</v>
      </c>
      <c r="G85" s="8">
        <v>0.12</v>
      </c>
      <c r="H85" s="8">
        <f t="shared" si="2"/>
        <v>1935.4896</v>
      </c>
      <c r="I85" s="8">
        <f t="shared" si="3"/>
        <v>387.09792</v>
      </c>
      <c r="J85" s="8" t="s">
        <v>237</v>
      </c>
    </row>
    <row r="86" ht="15.75" spans="1:10">
      <c r="A86" s="8" t="s">
        <v>238</v>
      </c>
      <c r="B86" s="8" t="s">
        <v>239</v>
      </c>
      <c r="C86" s="8" t="s">
        <v>12</v>
      </c>
      <c r="D86" s="8" t="s">
        <v>17</v>
      </c>
      <c r="E86" s="8">
        <v>1222.76</v>
      </c>
      <c r="F86" s="8">
        <v>5</v>
      </c>
      <c r="G86" s="8">
        <v>0.13</v>
      </c>
      <c r="H86" s="8">
        <f t="shared" si="2"/>
        <v>5319.006</v>
      </c>
      <c r="I86" s="8">
        <f t="shared" si="3"/>
        <v>1063.8012</v>
      </c>
      <c r="J86" s="8" t="s">
        <v>240</v>
      </c>
    </row>
    <row r="87" ht="15.75" spans="1:10">
      <c r="A87" s="8" t="s">
        <v>241</v>
      </c>
      <c r="B87" s="8" t="s">
        <v>217</v>
      </c>
      <c r="C87" s="8" t="s">
        <v>33</v>
      </c>
      <c r="D87" s="8" t="s">
        <v>67</v>
      </c>
      <c r="E87" s="8">
        <v>2626.39</v>
      </c>
      <c r="F87" s="8">
        <v>7</v>
      </c>
      <c r="G87" s="8">
        <v>0.06</v>
      </c>
      <c r="H87" s="8">
        <f t="shared" si="2"/>
        <v>17281.6462</v>
      </c>
      <c r="I87" s="8">
        <f t="shared" si="3"/>
        <v>3456.32924</v>
      </c>
      <c r="J87" s="8" t="s">
        <v>242</v>
      </c>
    </row>
    <row r="88" ht="15.75" spans="1:10">
      <c r="A88" s="8" t="s">
        <v>243</v>
      </c>
      <c r="B88" s="8" t="s">
        <v>244</v>
      </c>
      <c r="C88" s="8" t="s">
        <v>37</v>
      </c>
      <c r="D88" s="8" t="s">
        <v>21</v>
      </c>
      <c r="E88" s="8">
        <v>4260.28</v>
      </c>
      <c r="F88" s="8">
        <v>1</v>
      </c>
      <c r="G88" s="8">
        <v>0.06</v>
      </c>
      <c r="H88" s="8">
        <f t="shared" si="2"/>
        <v>4004.6632</v>
      </c>
      <c r="I88" s="8">
        <f t="shared" si="3"/>
        <v>800.93264</v>
      </c>
      <c r="J88" s="8" t="s">
        <v>245</v>
      </c>
    </row>
    <row r="89" ht="15.75" spans="1:10">
      <c r="A89" s="8" t="s">
        <v>246</v>
      </c>
      <c r="B89" s="8" t="s">
        <v>247</v>
      </c>
      <c r="C89" s="8" t="s">
        <v>37</v>
      </c>
      <c r="D89" s="8" t="s">
        <v>67</v>
      </c>
      <c r="E89" s="8">
        <v>1379.22</v>
      </c>
      <c r="F89" s="8">
        <v>5</v>
      </c>
      <c r="G89" s="8">
        <v>0.02</v>
      </c>
      <c r="H89" s="8">
        <f t="shared" si="2"/>
        <v>6758.178</v>
      </c>
      <c r="I89" s="8">
        <f t="shared" si="3"/>
        <v>1351.6356</v>
      </c>
      <c r="J89" s="8" t="s">
        <v>248</v>
      </c>
    </row>
    <row r="90" ht="15.75" spans="1:10">
      <c r="A90" s="8" t="s">
        <v>249</v>
      </c>
      <c r="B90" s="8" t="s">
        <v>250</v>
      </c>
      <c r="C90" s="8" t="s">
        <v>12</v>
      </c>
      <c r="D90" s="8" t="s">
        <v>21</v>
      </c>
      <c r="E90" s="8">
        <v>1629.19</v>
      </c>
      <c r="F90" s="8">
        <v>4</v>
      </c>
      <c r="G90" s="8">
        <v>0.19</v>
      </c>
      <c r="H90" s="8">
        <f t="shared" si="2"/>
        <v>5278.5756</v>
      </c>
      <c r="I90" s="8">
        <f t="shared" si="3"/>
        <v>1055.71512</v>
      </c>
      <c r="J90" s="8" t="s">
        <v>251</v>
      </c>
    </row>
    <row r="91" ht="15.75" spans="1:10">
      <c r="A91" s="8" t="s">
        <v>252</v>
      </c>
      <c r="B91" s="8" t="s">
        <v>24</v>
      </c>
      <c r="C91" s="8" t="s">
        <v>12</v>
      </c>
      <c r="D91" s="8" t="s">
        <v>25</v>
      </c>
      <c r="E91" s="8">
        <v>4690.98</v>
      </c>
      <c r="F91" s="8">
        <v>4</v>
      </c>
      <c r="G91" s="8">
        <v>0.07</v>
      </c>
      <c r="H91" s="8">
        <f t="shared" si="2"/>
        <v>17450.4456</v>
      </c>
      <c r="I91" s="8">
        <f t="shared" si="3"/>
        <v>3490.08912</v>
      </c>
      <c r="J91" s="8" t="s">
        <v>253</v>
      </c>
    </row>
    <row r="92" ht="15.75" spans="1:10">
      <c r="A92" s="8" t="s">
        <v>254</v>
      </c>
      <c r="B92" s="8" t="s">
        <v>255</v>
      </c>
      <c r="C92" s="8" t="s">
        <v>12</v>
      </c>
      <c r="D92" s="8" t="s">
        <v>17</v>
      </c>
      <c r="E92" s="8">
        <v>862.39</v>
      </c>
      <c r="F92" s="8">
        <v>1</v>
      </c>
      <c r="G92" s="8">
        <v>0.15</v>
      </c>
      <c r="H92" s="8">
        <f t="shared" si="2"/>
        <v>733.0315</v>
      </c>
      <c r="I92" s="8">
        <f t="shared" si="3"/>
        <v>146.6063</v>
      </c>
      <c r="J92" s="8" t="s">
        <v>256</v>
      </c>
    </row>
    <row r="93" ht="15.75" spans="1:10">
      <c r="A93" s="8" t="s">
        <v>257</v>
      </c>
      <c r="B93" s="8" t="s">
        <v>239</v>
      </c>
      <c r="C93" s="8" t="s">
        <v>12</v>
      </c>
      <c r="D93" s="8" t="s">
        <v>67</v>
      </c>
      <c r="E93" s="8">
        <v>4076.76</v>
      </c>
      <c r="F93" s="8">
        <v>5</v>
      </c>
      <c r="G93" s="8">
        <v>0.03</v>
      </c>
      <c r="H93" s="8">
        <f t="shared" si="2"/>
        <v>19772.286</v>
      </c>
      <c r="I93" s="8">
        <f t="shared" si="3"/>
        <v>3954.4572</v>
      </c>
      <c r="J93" s="8" t="s">
        <v>258</v>
      </c>
    </row>
    <row r="94" ht="15.75" spans="1:10">
      <c r="A94" s="8" t="s">
        <v>259</v>
      </c>
      <c r="B94" s="8" t="s">
        <v>174</v>
      </c>
      <c r="C94" s="8" t="s">
        <v>29</v>
      </c>
      <c r="D94" s="8" t="s">
        <v>17</v>
      </c>
      <c r="E94" s="8">
        <v>3548.47</v>
      </c>
      <c r="F94" s="8">
        <v>8</v>
      </c>
      <c r="G94" s="8">
        <v>0.2</v>
      </c>
      <c r="H94" s="8">
        <f t="shared" si="2"/>
        <v>22710.208</v>
      </c>
      <c r="I94" s="8">
        <f t="shared" si="3"/>
        <v>4542.0416</v>
      </c>
      <c r="J94" s="8" t="s">
        <v>89</v>
      </c>
    </row>
    <row r="95" ht="15.75" spans="1:10">
      <c r="A95" s="8" t="s">
        <v>260</v>
      </c>
      <c r="B95" s="8" t="s">
        <v>261</v>
      </c>
      <c r="C95" s="8" t="s">
        <v>29</v>
      </c>
      <c r="D95" s="8" t="s">
        <v>17</v>
      </c>
      <c r="E95" s="8">
        <v>2425.03</v>
      </c>
      <c r="F95" s="8">
        <v>3</v>
      </c>
      <c r="G95" s="8">
        <v>0.1</v>
      </c>
      <c r="H95" s="8">
        <f t="shared" si="2"/>
        <v>6547.581</v>
      </c>
      <c r="I95" s="8">
        <f t="shared" si="3"/>
        <v>1309.5162</v>
      </c>
      <c r="J95" s="8" t="s">
        <v>58</v>
      </c>
    </row>
    <row r="96" ht="15.75" spans="1:10">
      <c r="A96" s="8" t="s">
        <v>262</v>
      </c>
      <c r="B96" s="8" t="s">
        <v>263</v>
      </c>
      <c r="C96" s="8" t="s">
        <v>33</v>
      </c>
      <c r="D96" s="8" t="s">
        <v>13</v>
      </c>
      <c r="E96" s="8">
        <v>4358.58</v>
      </c>
      <c r="F96" s="8">
        <v>5</v>
      </c>
      <c r="G96" s="8">
        <v>0.18</v>
      </c>
      <c r="H96" s="8">
        <f t="shared" si="2"/>
        <v>17870.178</v>
      </c>
      <c r="I96" s="8">
        <f t="shared" si="3"/>
        <v>3574.0356</v>
      </c>
      <c r="J96" s="8" t="s">
        <v>264</v>
      </c>
    </row>
    <row r="97" ht="15.75" spans="1:10">
      <c r="A97" s="8" t="s">
        <v>265</v>
      </c>
      <c r="B97" s="8" t="s">
        <v>214</v>
      </c>
      <c r="C97" s="8" t="s">
        <v>12</v>
      </c>
      <c r="D97" s="8" t="s">
        <v>67</v>
      </c>
      <c r="E97" s="8">
        <v>3545.03</v>
      </c>
      <c r="F97" s="8">
        <v>9</v>
      </c>
      <c r="G97" s="8">
        <v>0.12</v>
      </c>
      <c r="H97" s="8">
        <f t="shared" si="2"/>
        <v>28076.6376</v>
      </c>
      <c r="I97" s="8">
        <f t="shared" si="3"/>
        <v>5615.32752</v>
      </c>
      <c r="J97" s="8" t="s">
        <v>55</v>
      </c>
    </row>
    <row r="98" ht="15.75" spans="1:10">
      <c r="A98" s="8" t="s">
        <v>266</v>
      </c>
      <c r="B98" s="8" t="s">
        <v>24</v>
      </c>
      <c r="C98" s="8" t="s">
        <v>37</v>
      </c>
      <c r="D98" s="8" t="s">
        <v>13</v>
      </c>
      <c r="E98" s="8">
        <v>1999.35</v>
      </c>
      <c r="F98" s="8">
        <v>5</v>
      </c>
      <c r="G98" s="8">
        <v>0.09</v>
      </c>
      <c r="H98" s="8">
        <f t="shared" si="2"/>
        <v>9097.0425</v>
      </c>
      <c r="I98" s="8">
        <f t="shared" si="3"/>
        <v>1819.4085</v>
      </c>
      <c r="J98" s="8" t="s">
        <v>267</v>
      </c>
    </row>
    <row r="99" ht="15.75" spans="1:10">
      <c r="A99" s="8" t="s">
        <v>268</v>
      </c>
      <c r="B99" s="8" t="s">
        <v>269</v>
      </c>
      <c r="C99" s="8" t="s">
        <v>37</v>
      </c>
      <c r="D99" s="8" t="s">
        <v>13</v>
      </c>
      <c r="E99" s="8">
        <v>2373.04</v>
      </c>
      <c r="F99" s="8">
        <v>4</v>
      </c>
      <c r="G99" s="8">
        <v>0.15</v>
      </c>
      <c r="H99" s="8">
        <f t="shared" si="2"/>
        <v>8068.336</v>
      </c>
      <c r="I99" s="8">
        <f t="shared" si="3"/>
        <v>1613.6672</v>
      </c>
      <c r="J99" s="8" t="s">
        <v>68</v>
      </c>
    </row>
    <row r="100" ht="15.75" spans="1:10">
      <c r="A100" s="8" t="s">
        <v>270</v>
      </c>
      <c r="B100" s="8" t="s">
        <v>161</v>
      </c>
      <c r="C100" s="8" t="s">
        <v>12</v>
      </c>
      <c r="D100" s="8" t="s">
        <v>25</v>
      </c>
      <c r="E100" s="8">
        <v>2425.91</v>
      </c>
      <c r="F100" s="8">
        <v>2</v>
      </c>
      <c r="G100" s="8">
        <v>0.12</v>
      </c>
      <c r="H100" s="8">
        <f t="shared" si="2"/>
        <v>4269.6016</v>
      </c>
      <c r="I100" s="8">
        <f t="shared" si="3"/>
        <v>853.92032</v>
      </c>
      <c r="J100" s="8" t="s">
        <v>271</v>
      </c>
    </row>
    <row r="101" ht="15.75" spans="1:10">
      <c r="A101" s="8" t="s">
        <v>272</v>
      </c>
      <c r="B101" s="8" t="s">
        <v>273</v>
      </c>
      <c r="C101" s="8" t="s">
        <v>33</v>
      </c>
      <c r="D101" s="8" t="s">
        <v>13</v>
      </c>
      <c r="E101" s="8">
        <v>3776.76</v>
      </c>
      <c r="F101" s="8">
        <v>7</v>
      </c>
      <c r="G101" s="8">
        <v>0.14</v>
      </c>
      <c r="H101" s="8">
        <f t="shared" si="2"/>
        <v>22736.0952</v>
      </c>
      <c r="I101" s="8">
        <f t="shared" si="3"/>
        <v>4547.21904</v>
      </c>
      <c r="J101" s="8" t="s">
        <v>274</v>
      </c>
    </row>
    <row r="102" ht="15.75" spans="1:10">
      <c r="A102" s="8" t="s">
        <v>275</v>
      </c>
      <c r="B102" s="8" t="s">
        <v>118</v>
      </c>
      <c r="C102" s="8" t="s">
        <v>33</v>
      </c>
      <c r="D102" s="8" t="s">
        <v>13</v>
      </c>
      <c r="E102" s="8">
        <v>475.17</v>
      </c>
      <c r="F102" s="8">
        <v>5</v>
      </c>
      <c r="G102" s="8">
        <v>0.03</v>
      </c>
      <c r="H102" s="8">
        <f t="shared" si="2"/>
        <v>2304.5745</v>
      </c>
      <c r="I102" s="8">
        <f t="shared" si="3"/>
        <v>460.9149</v>
      </c>
      <c r="J102" s="8" t="s">
        <v>198</v>
      </c>
    </row>
    <row r="103" ht="15.75" spans="1:10">
      <c r="A103" s="8" t="s">
        <v>276</v>
      </c>
      <c r="B103" s="8" t="s">
        <v>277</v>
      </c>
      <c r="C103" s="8" t="s">
        <v>29</v>
      </c>
      <c r="D103" s="8" t="s">
        <v>25</v>
      </c>
      <c r="E103" s="8">
        <v>677.15</v>
      </c>
      <c r="F103" s="8">
        <v>8</v>
      </c>
      <c r="G103" s="8">
        <v>0.17</v>
      </c>
      <c r="H103" s="8">
        <f t="shared" si="2"/>
        <v>4496.276</v>
      </c>
      <c r="I103" s="8">
        <f t="shared" si="3"/>
        <v>899.2552</v>
      </c>
      <c r="J103" s="8" t="s">
        <v>136</v>
      </c>
    </row>
    <row r="104" ht="15.75" spans="1:10">
      <c r="A104" s="8" t="s">
        <v>278</v>
      </c>
      <c r="B104" s="8" t="s">
        <v>28</v>
      </c>
      <c r="C104" s="8" t="s">
        <v>37</v>
      </c>
      <c r="D104" s="8" t="s">
        <v>21</v>
      </c>
      <c r="E104" s="8">
        <v>504.02</v>
      </c>
      <c r="F104" s="8">
        <v>1</v>
      </c>
      <c r="G104" s="8">
        <v>0.06</v>
      </c>
      <c r="H104" s="8">
        <f t="shared" si="2"/>
        <v>473.7788</v>
      </c>
      <c r="I104" s="8">
        <f t="shared" si="3"/>
        <v>94.75576</v>
      </c>
      <c r="J104" s="8" t="s">
        <v>279</v>
      </c>
    </row>
    <row r="105" ht="15.75" spans="1:10">
      <c r="A105" s="8" t="s">
        <v>280</v>
      </c>
      <c r="B105" s="8" t="s">
        <v>24</v>
      </c>
      <c r="C105" s="8" t="s">
        <v>29</v>
      </c>
      <c r="D105" s="8" t="s">
        <v>67</v>
      </c>
      <c r="E105" s="8">
        <v>2603.96</v>
      </c>
      <c r="F105" s="8">
        <v>8</v>
      </c>
      <c r="G105" s="8">
        <v>0.14</v>
      </c>
      <c r="H105" s="8">
        <f t="shared" si="2"/>
        <v>17915.2448</v>
      </c>
      <c r="I105" s="8">
        <f t="shared" si="3"/>
        <v>3583.04896</v>
      </c>
      <c r="J105" s="8" t="s">
        <v>281</v>
      </c>
    </row>
    <row r="106" ht="15.75" spans="1:10">
      <c r="A106" s="8" t="s">
        <v>282</v>
      </c>
      <c r="B106" s="8" t="s">
        <v>283</v>
      </c>
      <c r="C106" s="8" t="s">
        <v>29</v>
      </c>
      <c r="D106" s="8" t="s">
        <v>67</v>
      </c>
      <c r="E106" s="8">
        <v>3232.77</v>
      </c>
      <c r="F106" s="8">
        <v>4</v>
      </c>
      <c r="G106" s="8">
        <v>0.12</v>
      </c>
      <c r="H106" s="8">
        <f t="shared" si="2"/>
        <v>11379.3504</v>
      </c>
      <c r="I106" s="8">
        <f t="shared" si="3"/>
        <v>2275.87008</v>
      </c>
      <c r="J106" s="8" t="s">
        <v>177</v>
      </c>
    </row>
    <row r="107" ht="15.75" spans="1:10">
      <c r="A107" s="8" t="s">
        <v>284</v>
      </c>
      <c r="B107" s="8" t="s">
        <v>285</v>
      </c>
      <c r="C107" s="8" t="s">
        <v>29</v>
      </c>
      <c r="D107" s="8" t="s">
        <v>67</v>
      </c>
      <c r="E107" s="8">
        <v>3389.27</v>
      </c>
      <c r="F107" s="8">
        <v>5</v>
      </c>
      <c r="G107" s="8">
        <v>0.18</v>
      </c>
      <c r="H107" s="8">
        <f t="shared" si="2"/>
        <v>13896.007</v>
      </c>
      <c r="I107" s="8">
        <f t="shared" si="3"/>
        <v>2779.2014</v>
      </c>
      <c r="J107" s="8" t="s">
        <v>170</v>
      </c>
    </row>
    <row r="108" ht="15.75" spans="1:10">
      <c r="A108" s="8" t="s">
        <v>286</v>
      </c>
      <c r="B108" s="8" t="s">
        <v>287</v>
      </c>
      <c r="C108" s="8" t="s">
        <v>29</v>
      </c>
      <c r="D108" s="8" t="s">
        <v>25</v>
      </c>
      <c r="E108" s="8">
        <v>4918.23</v>
      </c>
      <c r="F108" s="8">
        <v>6</v>
      </c>
      <c r="G108" s="8">
        <v>0.06</v>
      </c>
      <c r="H108" s="8">
        <f t="shared" si="2"/>
        <v>27738.8172</v>
      </c>
      <c r="I108" s="8">
        <f t="shared" si="3"/>
        <v>5547.76344</v>
      </c>
      <c r="J108" s="8" t="s">
        <v>288</v>
      </c>
    </row>
    <row r="109" ht="15.75" spans="1:10">
      <c r="A109" s="8" t="s">
        <v>289</v>
      </c>
      <c r="B109" s="8" t="s">
        <v>206</v>
      </c>
      <c r="C109" s="8" t="s">
        <v>37</v>
      </c>
      <c r="D109" s="8" t="s">
        <v>13</v>
      </c>
      <c r="E109" s="8">
        <v>4009.97</v>
      </c>
      <c r="F109" s="8">
        <v>8</v>
      </c>
      <c r="G109" s="8">
        <v>0.11</v>
      </c>
      <c r="H109" s="8">
        <f t="shared" si="2"/>
        <v>28550.9864</v>
      </c>
      <c r="I109" s="8">
        <f t="shared" si="3"/>
        <v>5710.19728</v>
      </c>
      <c r="J109" s="8" t="s">
        <v>290</v>
      </c>
    </row>
    <row r="110" ht="15.75" spans="1:10">
      <c r="A110" s="8" t="s">
        <v>291</v>
      </c>
      <c r="B110" s="8" t="s">
        <v>222</v>
      </c>
      <c r="C110" s="8" t="s">
        <v>29</v>
      </c>
      <c r="D110" s="8" t="s">
        <v>17</v>
      </c>
      <c r="E110" s="8">
        <v>1884.11</v>
      </c>
      <c r="F110" s="8">
        <v>2</v>
      </c>
      <c r="G110" s="8">
        <v>0.14</v>
      </c>
      <c r="H110" s="8">
        <f t="shared" si="2"/>
        <v>3240.6692</v>
      </c>
      <c r="I110" s="8">
        <f t="shared" si="3"/>
        <v>648.13384</v>
      </c>
      <c r="J110" s="8" t="s">
        <v>292</v>
      </c>
    </row>
    <row r="111" ht="15.75" spans="1:10">
      <c r="A111" s="8" t="s">
        <v>293</v>
      </c>
      <c r="B111" s="8" t="s">
        <v>141</v>
      </c>
      <c r="C111" s="8" t="s">
        <v>12</v>
      </c>
      <c r="D111" s="8" t="s">
        <v>13</v>
      </c>
      <c r="E111" s="8">
        <v>3702.79</v>
      </c>
      <c r="F111" s="8">
        <v>1</v>
      </c>
      <c r="G111" s="8">
        <v>0.12</v>
      </c>
      <c r="H111" s="8">
        <f t="shared" si="2"/>
        <v>3258.4552</v>
      </c>
      <c r="I111" s="8">
        <f t="shared" si="3"/>
        <v>651.69104</v>
      </c>
      <c r="J111" s="8" t="s">
        <v>294</v>
      </c>
    </row>
    <row r="112" ht="15.75" spans="1:10">
      <c r="A112" s="8" t="s">
        <v>295</v>
      </c>
      <c r="B112" s="8" t="s">
        <v>209</v>
      </c>
      <c r="C112" s="8" t="s">
        <v>29</v>
      </c>
      <c r="D112" s="8" t="s">
        <v>21</v>
      </c>
      <c r="E112" s="8">
        <v>845.61</v>
      </c>
      <c r="F112" s="8">
        <v>7</v>
      </c>
      <c r="G112" s="8">
        <v>0.02</v>
      </c>
      <c r="H112" s="8">
        <f t="shared" si="2"/>
        <v>5800.8846</v>
      </c>
      <c r="I112" s="8">
        <f t="shared" si="3"/>
        <v>1160.17692</v>
      </c>
      <c r="J112" s="8" t="s">
        <v>296</v>
      </c>
    </row>
    <row r="113" ht="15.75" spans="1:10">
      <c r="A113" s="8" t="s">
        <v>297</v>
      </c>
      <c r="B113" s="8" t="s">
        <v>161</v>
      </c>
      <c r="C113" s="8" t="s">
        <v>29</v>
      </c>
      <c r="D113" s="8" t="s">
        <v>17</v>
      </c>
      <c r="E113" s="8">
        <v>2505.91</v>
      </c>
      <c r="F113" s="8">
        <v>2</v>
      </c>
      <c r="G113" s="8">
        <v>0.15</v>
      </c>
      <c r="H113" s="8">
        <f t="shared" si="2"/>
        <v>4260.047</v>
      </c>
      <c r="I113" s="8">
        <f t="shared" si="3"/>
        <v>852.0094</v>
      </c>
      <c r="J113" s="8" t="s">
        <v>258</v>
      </c>
    </row>
    <row r="114" ht="15.75" spans="1:10">
      <c r="A114" s="8" t="s">
        <v>298</v>
      </c>
      <c r="B114" s="8" t="s">
        <v>299</v>
      </c>
      <c r="C114" s="8" t="s">
        <v>29</v>
      </c>
      <c r="D114" s="8" t="s">
        <v>25</v>
      </c>
      <c r="E114" s="8">
        <v>1905.06</v>
      </c>
      <c r="F114" s="8">
        <v>8</v>
      </c>
      <c r="G114" s="8">
        <v>0.16</v>
      </c>
      <c r="H114" s="8">
        <f t="shared" si="2"/>
        <v>12802.0032</v>
      </c>
      <c r="I114" s="8">
        <f t="shared" si="3"/>
        <v>2560.40064</v>
      </c>
      <c r="J114" s="8" t="s">
        <v>300</v>
      </c>
    </row>
    <row r="115" ht="15.75" spans="1:10">
      <c r="A115" s="8" t="s">
        <v>301</v>
      </c>
      <c r="B115" s="8" t="s">
        <v>302</v>
      </c>
      <c r="C115" s="8" t="s">
        <v>37</v>
      </c>
      <c r="D115" s="8" t="s">
        <v>17</v>
      </c>
      <c r="E115" s="8">
        <v>3474.92</v>
      </c>
      <c r="F115" s="8">
        <v>4</v>
      </c>
      <c r="G115" s="8">
        <v>0.14</v>
      </c>
      <c r="H115" s="8">
        <f t="shared" si="2"/>
        <v>11953.7248</v>
      </c>
      <c r="I115" s="8">
        <f t="shared" si="3"/>
        <v>2390.74496</v>
      </c>
      <c r="J115" s="8" t="s">
        <v>303</v>
      </c>
    </row>
    <row r="116" ht="15.75" spans="1:10">
      <c r="A116" s="8" t="s">
        <v>304</v>
      </c>
      <c r="B116" s="8" t="s">
        <v>85</v>
      </c>
      <c r="C116" s="8" t="s">
        <v>37</v>
      </c>
      <c r="D116" s="8" t="s">
        <v>21</v>
      </c>
      <c r="E116" s="8">
        <v>3350.36</v>
      </c>
      <c r="F116" s="8">
        <v>9</v>
      </c>
      <c r="G116" s="8">
        <v>0.08</v>
      </c>
      <c r="H116" s="8">
        <f t="shared" si="2"/>
        <v>27740.9808</v>
      </c>
      <c r="I116" s="8">
        <f t="shared" si="3"/>
        <v>5548.19616</v>
      </c>
      <c r="J116" s="8" t="s">
        <v>131</v>
      </c>
    </row>
    <row r="117" ht="15.75" spans="1:10">
      <c r="A117" s="8" t="s">
        <v>305</v>
      </c>
      <c r="B117" s="8" t="s">
        <v>306</v>
      </c>
      <c r="C117" s="8" t="s">
        <v>29</v>
      </c>
      <c r="D117" s="8" t="s">
        <v>25</v>
      </c>
      <c r="E117" s="8">
        <v>3865.29</v>
      </c>
      <c r="F117" s="8">
        <v>4</v>
      </c>
      <c r="G117" s="8">
        <v>0.04</v>
      </c>
      <c r="H117" s="8">
        <f t="shared" si="2"/>
        <v>14842.7136</v>
      </c>
      <c r="I117" s="8">
        <f t="shared" si="3"/>
        <v>2968.54272</v>
      </c>
      <c r="J117" s="8" t="s">
        <v>136</v>
      </c>
    </row>
    <row r="118" ht="15.75" spans="1:10">
      <c r="A118" s="8" t="s">
        <v>307</v>
      </c>
      <c r="B118" s="8" t="s">
        <v>32</v>
      </c>
      <c r="C118" s="8" t="s">
        <v>37</v>
      </c>
      <c r="D118" s="8" t="s">
        <v>21</v>
      </c>
      <c r="E118" s="8">
        <v>1107.82</v>
      </c>
      <c r="F118" s="8">
        <v>7</v>
      </c>
      <c r="G118" s="8">
        <v>0.05</v>
      </c>
      <c r="H118" s="8">
        <f t="shared" si="2"/>
        <v>7367.003</v>
      </c>
      <c r="I118" s="8">
        <f t="shared" si="3"/>
        <v>1473.4006</v>
      </c>
      <c r="J118" s="8" t="s">
        <v>30</v>
      </c>
    </row>
    <row r="119" ht="15.75" spans="1:10">
      <c r="A119" s="8" t="s">
        <v>308</v>
      </c>
      <c r="B119" s="8" t="s">
        <v>121</v>
      </c>
      <c r="C119" s="8" t="s">
        <v>33</v>
      </c>
      <c r="D119" s="8" t="s">
        <v>17</v>
      </c>
      <c r="E119" s="8">
        <v>2200.21</v>
      </c>
      <c r="F119" s="8">
        <v>8</v>
      </c>
      <c r="G119" s="8">
        <v>0.05</v>
      </c>
      <c r="H119" s="8">
        <f t="shared" si="2"/>
        <v>16721.596</v>
      </c>
      <c r="I119" s="8">
        <f t="shared" si="3"/>
        <v>3344.3192</v>
      </c>
      <c r="J119" s="8" t="s">
        <v>309</v>
      </c>
    </row>
    <row r="120" ht="15.75" spans="1:10">
      <c r="A120" s="8" t="s">
        <v>310</v>
      </c>
      <c r="B120" s="8" t="s">
        <v>311</v>
      </c>
      <c r="C120" s="8" t="s">
        <v>29</v>
      </c>
      <c r="D120" s="8" t="s">
        <v>25</v>
      </c>
      <c r="E120" s="8">
        <v>4082.63</v>
      </c>
      <c r="F120" s="8">
        <v>7</v>
      </c>
      <c r="G120" s="8">
        <v>0.08</v>
      </c>
      <c r="H120" s="8">
        <f t="shared" si="2"/>
        <v>26292.1372</v>
      </c>
      <c r="I120" s="8">
        <f t="shared" si="3"/>
        <v>5258.42744</v>
      </c>
      <c r="J120" s="8" t="s">
        <v>312</v>
      </c>
    </row>
    <row r="121" ht="15.75" spans="1:10">
      <c r="A121" s="8" t="s">
        <v>313</v>
      </c>
      <c r="B121" s="8" t="s">
        <v>135</v>
      </c>
      <c r="C121" s="8" t="s">
        <v>33</v>
      </c>
      <c r="D121" s="8" t="s">
        <v>17</v>
      </c>
      <c r="E121" s="8">
        <v>4728.79</v>
      </c>
      <c r="F121" s="8">
        <v>6</v>
      </c>
      <c r="G121" s="8">
        <v>0.14</v>
      </c>
      <c r="H121" s="8">
        <f t="shared" si="2"/>
        <v>24400.5564</v>
      </c>
      <c r="I121" s="8">
        <f t="shared" si="3"/>
        <v>4880.11128</v>
      </c>
      <c r="J121" s="8" t="s">
        <v>105</v>
      </c>
    </row>
    <row r="122" ht="15.75" spans="1:10">
      <c r="A122" s="8" t="s">
        <v>314</v>
      </c>
      <c r="B122" s="8" t="s">
        <v>315</v>
      </c>
      <c r="C122" s="8" t="s">
        <v>12</v>
      </c>
      <c r="D122" s="8" t="s">
        <v>21</v>
      </c>
      <c r="E122" s="8">
        <v>314.59</v>
      </c>
      <c r="F122" s="8">
        <v>4</v>
      </c>
      <c r="G122" s="8">
        <v>0.17</v>
      </c>
      <c r="H122" s="8">
        <f t="shared" si="2"/>
        <v>1044.4388</v>
      </c>
      <c r="I122" s="8">
        <f t="shared" si="3"/>
        <v>208.88776</v>
      </c>
      <c r="J122" s="8" t="s">
        <v>316</v>
      </c>
    </row>
    <row r="123" ht="15.75" spans="1:10">
      <c r="A123" s="8" t="s">
        <v>317</v>
      </c>
      <c r="B123" s="8" t="s">
        <v>299</v>
      </c>
      <c r="C123" s="8" t="s">
        <v>33</v>
      </c>
      <c r="D123" s="8" t="s">
        <v>21</v>
      </c>
      <c r="E123" s="8">
        <v>2976.77</v>
      </c>
      <c r="F123" s="8">
        <v>4</v>
      </c>
      <c r="G123" s="8">
        <v>0.17</v>
      </c>
      <c r="H123" s="8">
        <f t="shared" si="2"/>
        <v>9882.8764</v>
      </c>
      <c r="I123" s="8">
        <f t="shared" si="3"/>
        <v>1976.57528</v>
      </c>
      <c r="J123" s="8" t="s">
        <v>170</v>
      </c>
    </row>
    <row r="124" ht="15.75" spans="1:10">
      <c r="A124" s="8" t="s">
        <v>318</v>
      </c>
      <c r="B124" s="8" t="s">
        <v>319</v>
      </c>
      <c r="C124" s="8" t="s">
        <v>29</v>
      </c>
      <c r="D124" s="8" t="s">
        <v>17</v>
      </c>
      <c r="E124" s="8">
        <v>3995.75</v>
      </c>
      <c r="F124" s="8">
        <v>6</v>
      </c>
      <c r="G124" s="8">
        <v>0.01</v>
      </c>
      <c r="H124" s="8">
        <f t="shared" si="2"/>
        <v>23734.755</v>
      </c>
      <c r="I124" s="8">
        <f t="shared" si="3"/>
        <v>4746.951</v>
      </c>
      <c r="J124" s="8" t="s">
        <v>159</v>
      </c>
    </row>
    <row r="125" ht="15.75" spans="1:10">
      <c r="A125" s="8" t="s">
        <v>320</v>
      </c>
      <c r="B125" s="8" t="s">
        <v>101</v>
      </c>
      <c r="C125" s="8" t="s">
        <v>33</v>
      </c>
      <c r="D125" s="8" t="s">
        <v>17</v>
      </c>
      <c r="E125" s="8">
        <v>1122.68</v>
      </c>
      <c r="F125" s="8">
        <v>4</v>
      </c>
      <c r="G125" s="8">
        <v>0.06</v>
      </c>
      <c r="H125" s="8">
        <f t="shared" si="2"/>
        <v>4221.2768</v>
      </c>
      <c r="I125" s="8">
        <f t="shared" si="3"/>
        <v>844.25536</v>
      </c>
      <c r="J125" s="8" t="s">
        <v>218</v>
      </c>
    </row>
    <row r="126" ht="15.75" spans="1:10">
      <c r="A126" s="8" t="s">
        <v>321</v>
      </c>
      <c r="B126" s="8" t="s">
        <v>277</v>
      </c>
      <c r="C126" s="8" t="s">
        <v>37</v>
      </c>
      <c r="D126" s="8" t="s">
        <v>25</v>
      </c>
      <c r="E126" s="8">
        <v>4624.78</v>
      </c>
      <c r="F126" s="8">
        <v>2</v>
      </c>
      <c r="G126" s="8">
        <v>0.15</v>
      </c>
      <c r="H126" s="8">
        <f t="shared" si="2"/>
        <v>7862.126</v>
      </c>
      <c r="I126" s="8">
        <f t="shared" si="3"/>
        <v>1572.4252</v>
      </c>
      <c r="J126" s="8" t="s">
        <v>64</v>
      </c>
    </row>
    <row r="127" ht="15.75" spans="1:10">
      <c r="A127" s="8" t="s">
        <v>322</v>
      </c>
      <c r="B127" s="8" t="s">
        <v>323</v>
      </c>
      <c r="C127" s="8" t="s">
        <v>12</v>
      </c>
      <c r="D127" s="8" t="s">
        <v>13</v>
      </c>
      <c r="E127" s="8">
        <v>2154.9</v>
      </c>
      <c r="F127" s="8">
        <v>4</v>
      </c>
      <c r="G127" s="8">
        <v>0.17</v>
      </c>
      <c r="H127" s="8">
        <f t="shared" si="2"/>
        <v>7154.268</v>
      </c>
      <c r="I127" s="8">
        <f t="shared" si="3"/>
        <v>1430.8536</v>
      </c>
      <c r="J127" s="8" t="s">
        <v>324</v>
      </c>
    </row>
    <row r="128" ht="15.75" spans="1:10">
      <c r="A128" s="8" t="s">
        <v>325</v>
      </c>
      <c r="B128" s="8" t="s">
        <v>60</v>
      </c>
      <c r="C128" s="8" t="s">
        <v>33</v>
      </c>
      <c r="D128" s="8" t="s">
        <v>25</v>
      </c>
      <c r="E128" s="8">
        <v>1693.88</v>
      </c>
      <c r="F128" s="8">
        <v>8</v>
      </c>
      <c r="G128" s="8">
        <v>0.13</v>
      </c>
      <c r="H128" s="8">
        <f t="shared" si="2"/>
        <v>11789.4048</v>
      </c>
      <c r="I128" s="8">
        <f t="shared" si="3"/>
        <v>2357.88096</v>
      </c>
      <c r="J128" s="8" t="s">
        <v>326</v>
      </c>
    </row>
    <row r="129" ht="15.75" spans="1:10">
      <c r="A129" s="8" t="s">
        <v>327</v>
      </c>
      <c r="B129" s="8" t="s">
        <v>231</v>
      </c>
      <c r="C129" s="8" t="s">
        <v>33</v>
      </c>
      <c r="D129" s="8" t="s">
        <v>25</v>
      </c>
      <c r="E129" s="8">
        <v>2149.94</v>
      </c>
      <c r="F129" s="8">
        <v>6</v>
      </c>
      <c r="G129" s="8">
        <v>0.07</v>
      </c>
      <c r="H129" s="8">
        <f t="shared" si="2"/>
        <v>11996.6652</v>
      </c>
      <c r="I129" s="8">
        <f t="shared" si="3"/>
        <v>2399.33304</v>
      </c>
      <c r="J129" s="8" t="s">
        <v>328</v>
      </c>
    </row>
    <row r="130" ht="15.75" spans="1:10">
      <c r="A130" s="8" t="s">
        <v>329</v>
      </c>
      <c r="B130" s="8" t="s">
        <v>330</v>
      </c>
      <c r="C130" s="8" t="s">
        <v>33</v>
      </c>
      <c r="D130" s="8" t="s">
        <v>25</v>
      </c>
      <c r="E130" s="8">
        <v>2330.68</v>
      </c>
      <c r="F130" s="8">
        <v>4</v>
      </c>
      <c r="G130" s="8">
        <v>0.1</v>
      </c>
      <c r="H130" s="8">
        <f t="shared" ref="H130:H193" si="4">E130*F130*(1-G130)</f>
        <v>8390.448</v>
      </c>
      <c r="I130" s="8">
        <f t="shared" ref="I130:I193" si="5">H130*0.2</f>
        <v>1678.0896</v>
      </c>
      <c r="J130" s="8" t="s">
        <v>152</v>
      </c>
    </row>
    <row r="131" ht="15.75" spans="1:10">
      <c r="A131" s="8" t="s">
        <v>331</v>
      </c>
      <c r="B131" s="8" t="s">
        <v>332</v>
      </c>
      <c r="C131" s="8" t="s">
        <v>29</v>
      </c>
      <c r="D131" s="8" t="s">
        <v>17</v>
      </c>
      <c r="E131" s="8">
        <v>4065.61</v>
      </c>
      <c r="F131" s="8">
        <v>6</v>
      </c>
      <c r="G131" s="8">
        <v>0.02</v>
      </c>
      <c r="H131" s="8">
        <f t="shared" si="4"/>
        <v>23905.7868</v>
      </c>
      <c r="I131" s="8">
        <f t="shared" si="5"/>
        <v>4781.15736</v>
      </c>
      <c r="J131" s="8" t="s">
        <v>164</v>
      </c>
    </row>
    <row r="132" ht="15.75" spans="1:10">
      <c r="A132" s="8" t="s">
        <v>333</v>
      </c>
      <c r="B132" s="8" t="s">
        <v>250</v>
      </c>
      <c r="C132" s="8" t="s">
        <v>33</v>
      </c>
      <c r="D132" s="8" t="s">
        <v>17</v>
      </c>
      <c r="E132" s="8">
        <v>3270.23</v>
      </c>
      <c r="F132" s="8">
        <v>2</v>
      </c>
      <c r="G132" s="8">
        <v>0.19</v>
      </c>
      <c r="H132" s="8">
        <f t="shared" si="4"/>
        <v>5297.7726</v>
      </c>
      <c r="I132" s="8">
        <f t="shared" si="5"/>
        <v>1059.55452</v>
      </c>
      <c r="J132" s="8" t="s">
        <v>122</v>
      </c>
    </row>
    <row r="133" ht="15.75" spans="1:10">
      <c r="A133" s="8" t="s">
        <v>334</v>
      </c>
      <c r="B133" s="8" t="s">
        <v>335</v>
      </c>
      <c r="C133" s="8" t="s">
        <v>12</v>
      </c>
      <c r="D133" s="8" t="s">
        <v>17</v>
      </c>
      <c r="E133" s="8">
        <v>4589.59</v>
      </c>
      <c r="F133" s="8">
        <v>1</v>
      </c>
      <c r="G133" s="8">
        <v>0.06</v>
      </c>
      <c r="H133" s="8">
        <f t="shared" si="4"/>
        <v>4314.2146</v>
      </c>
      <c r="I133" s="8">
        <f t="shared" si="5"/>
        <v>862.84292</v>
      </c>
      <c r="J133" s="8" t="s">
        <v>336</v>
      </c>
    </row>
    <row r="134" ht="15.75" spans="1:10">
      <c r="A134" s="8" t="s">
        <v>337</v>
      </c>
      <c r="B134" s="8" t="s">
        <v>255</v>
      </c>
      <c r="C134" s="8" t="s">
        <v>33</v>
      </c>
      <c r="D134" s="8" t="s">
        <v>25</v>
      </c>
      <c r="E134" s="8">
        <v>2010.13</v>
      </c>
      <c r="F134" s="8">
        <v>4</v>
      </c>
      <c r="G134" s="8">
        <v>0.1</v>
      </c>
      <c r="H134" s="8">
        <f t="shared" si="4"/>
        <v>7236.468</v>
      </c>
      <c r="I134" s="8">
        <f t="shared" si="5"/>
        <v>1447.2936</v>
      </c>
      <c r="J134" s="8" t="s">
        <v>338</v>
      </c>
    </row>
    <row r="135" ht="15.75" spans="1:10">
      <c r="A135" s="8" t="s">
        <v>339</v>
      </c>
      <c r="B135" s="8" t="s">
        <v>121</v>
      </c>
      <c r="C135" s="8" t="s">
        <v>29</v>
      </c>
      <c r="D135" s="8" t="s">
        <v>13</v>
      </c>
      <c r="E135" s="8">
        <v>2912.1</v>
      </c>
      <c r="F135" s="8">
        <v>8</v>
      </c>
      <c r="G135" s="8">
        <v>0.19</v>
      </c>
      <c r="H135" s="8">
        <f t="shared" si="4"/>
        <v>18870.408</v>
      </c>
      <c r="I135" s="8">
        <f t="shared" si="5"/>
        <v>3774.0816</v>
      </c>
      <c r="J135" s="8" t="s">
        <v>340</v>
      </c>
    </row>
    <row r="136" ht="15.75" spans="1:10">
      <c r="A136" s="8" t="s">
        <v>341</v>
      </c>
      <c r="B136" s="8" t="s">
        <v>273</v>
      </c>
      <c r="C136" s="8" t="s">
        <v>29</v>
      </c>
      <c r="D136" s="8" t="s">
        <v>25</v>
      </c>
      <c r="E136" s="8">
        <v>1164.76</v>
      </c>
      <c r="F136" s="8">
        <v>2</v>
      </c>
      <c r="G136" s="8">
        <v>0.01</v>
      </c>
      <c r="H136" s="8">
        <f t="shared" si="4"/>
        <v>2306.2248</v>
      </c>
      <c r="I136" s="8">
        <f t="shared" si="5"/>
        <v>461.24496</v>
      </c>
      <c r="J136" s="8" t="s">
        <v>342</v>
      </c>
    </row>
    <row r="137" ht="15.75" spans="1:10">
      <c r="A137" s="8" t="s">
        <v>343</v>
      </c>
      <c r="B137" s="8" t="s">
        <v>344</v>
      </c>
      <c r="C137" s="8" t="s">
        <v>29</v>
      </c>
      <c r="D137" s="8" t="s">
        <v>21</v>
      </c>
      <c r="E137" s="8">
        <v>1945.51</v>
      </c>
      <c r="F137" s="8">
        <v>6</v>
      </c>
      <c r="G137" s="8">
        <v>0.07</v>
      </c>
      <c r="H137" s="8">
        <f t="shared" si="4"/>
        <v>10855.9458</v>
      </c>
      <c r="I137" s="8">
        <f t="shared" si="5"/>
        <v>2171.18916</v>
      </c>
      <c r="J137" s="8" t="s">
        <v>170</v>
      </c>
    </row>
    <row r="138" ht="15.75" spans="1:10">
      <c r="A138" s="8" t="s">
        <v>345</v>
      </c>
      <c r="B138" s="8" t="s">
        <v>273</v>
      </c>
      <c r="C138" s="8" t="s">
        <v>37</v>
      </c>
      <c r="D138" s="8" t="s">
        <v>13</v>
      </c>
      <c r="E138" s="8">
        <v>4097.68</v>
      </c>
      <c r="F138" s="8">
        <v>9</v>
      </c>
      <c r="G138" s="8">
        <v>0.05</v>
      </c>
      <c r="H138" s="8">
        <f t="shared" si="4"/>
        <v>35035.164</v>
      </c>
      <c r="I138" s="8">
        <f t="shared" si="5"/>
        <v>7007.0328</v>
      </c>
      <c r="J138" s="8" t="s">
        <v>346</v>
      </c>
    </row>
    <row r="139" ht="15.75" spans="1:10">
      <c r="A139" s="8" t="s">
        <v>347</v>
      </c>
      <c r="B139" s="8" t="s">
        <v>348</v>
      </c>
      <c r="C139" s="8" t="s">
        <v>33</v>
      </c>
      <c r="D139" s="8" t="s">
        <v>21</v>
      </c>
      <c r="E139" s="8">
        <v>1995.09</v>
      </c>
      <c r="F139" s="8">
        <v>8</v>
      </c>
      <c r="G139" s="8">
        <v>0.18</v>
      </c>
      <c r="H139" s="8">
        <f t="shared" si="4"/>
        <v>13087.7904</v>
      </c>
      <c r="I139" s="8">
        <f t="shared" si="5"/>
        <v>2617.55808</v>
      </c>
      <c r="J139" s="8" t="s">
        <v>349</v>
      </c>
    </row>
    <row r="140" ht="15.75" spans="1:10">
      <c r="A140" s="8" t="s">
        <v>350</v>
      </c>
      <c r="B140" s="8" t="s">
        <v>351</v>
      </c>
      <c r="C140" s="8" t="s">
        <v>12</v>
      </c>
      <c r="D140" s="8" t="s">
        <v>13</v>
      </c>
      <c r="E140" s="8">
        <v>4193.39</v>
      </c>
      <c r="F140" s="8">
        <v>4</v>
      </c>
      <c r="G140" s="8">
        <v>0.18</v>
      </c>
      <c r="H140" s="8">
        <f t="shared" si="4"/>
        <v>13754.3192</v>
      </c>
      <c r="I140" s="8">
        <f t="shared" si="5"/>
        <v>2750.86384</v>
      </c>
      <c r="J140" s="8" t="s">
        <v>352</v>
      </c>
    </row>
    <row r="141" ht="15.75" spans="1:10">
      <c r="A141" s="8" t="s">
        <v>353</v>
      </c>
      <c r="B141" s="8" t="s">
        <v>269</v>
      </c>
      <c r="C141" s="8" t="s">
        <v>33</v>
      </c>
      <c r="D141" s="8" t="s">
        <v>25</v>
      </c>
      <c r="E141" s="8">
        <v>4676.88</v>
      </c>
      <c r="F141" s="8">
        <v>3</v>
      </c>
      <c r="G141" s="8">
        <v>0.01</v>
      </c>
      <c r="H141" s="8">
        <f t="shared" si="4"/>
        <v>13890.3336</v>
      </c>
      <c r="I141" s="8">
        <f t="shared" si="5"/>
        <v>2778.06672</v>
      </c>
      <c r="J141" s="8" t="s">
        <v>30</v>
      </c>
    </row>
    <row r="142" ht="15.75" spans="1:10">
      <c r="A142" s="8" t="s">
        <v>354</v>
      </c>
      <c r="B142" s="8" t="s">
        <v>351</v>
      </c>
      <c r="C142" s="8" t="s">
        <v>37</v>
      </c>
      <c r="D142" s="8" t="s">
        <v>25</v>
      </c>
      <c r="E142" s="8">
        <v>614.91</v>
      </c>
      <c r="F142" s="8">
        <v>4</v>
      </c>
      <c r="G142" s="8">
        <v>0.15</v>
      </c>
      <c r="H142" s="8">
        <f t="shared" si="4"/>
        <v>2090.694</v>
      </c>
      <c r="I142" s="8">
        <f t="shared" si="5"/>
        <v>418.1388</v>
      </c>
      <c r="J142" s="8" t="s">
        <v>102</v>
      </c>
    </row>
    <row r="143" ht="15.75" spans="1:10">
      <c r="A143" s="8" t="s">
        <v>355</v>
      </c>
      <c r="B143" s="8" t="s">
        <v>32</v>
      </c>
      <c r="C143" s="8" t="s">
        <v>12</v>
      </c>
      <c r="D143" s="8" t="s">
        <v>13</v>
      </c>
      <c r="E143" s="8">
        <v>548.33</v>
      </c>
      <c r="F143" s="8">
        <v>1</v>
      </c>
      <c r="G143" s="8">
        <v>0.15</v>
      </c>
      <c r="H143" s="8">
        <f t="shared" si="4"/>
        <v>466.0805</v>
      </c>
      <c r="I143" s="8">
        <f t="shared" si="5"/>
        <v>93.2161</v>
      </c>
      <c r="J143" s="8" t="s">
        <v>356</v>
      </c>
    </row>
    <row r="144" ht="15.75" spans="1:10">
      <c r="A144" s="8" t="s">
        <v>357</v>
      </c>
      <c r="B144" s="8" t="s">
        <v>283</v>
      </c>
      <c r="C144" s="8" t="s">
        <v>29</v>
      </c>
      <c r="D144" s="8" t="s">
        <v>17</v>
      </c>
      <c r="E144" s="8">
        <v>4689.98</v>
      </c>
      <c r="F144" s="8">
        <v>9</v>
      </c>
      <c r="G144" s="8">
        <v>0.03</v>
      </c>
      <c r="H144" s="8">
        <f t="shared" si="4"/>
        <v>40943.5254</v>
      </c>
      <c r="I144" s="8">
        <f t="shared" si="5"/>
        <v>8188.70508</v>
      </c>
      <c r="J144" s="8" t="s">
        <v>358</v>
      </c>
    </row>
    <row r="145" ht="15.75" spans="1:10">
      <c r="A145" s="8" t="s">
        <v>359</v>
      </c>
      <c r="B145" s="8" t="s">
        <v>209</v>
      </c>
      <c r="C145" s="8" t="s">
        <v>37</v>
      </c>
      <c r="D145" s="8" t="s">
        <v>25</v>
      </c>
      <c r="E145" s="8">
        <v>4231.9</v>
      </c>
      <c r="F145" s="8">
        <v>8</v>
      </c>
      <c r="G145" s="8">
        <v>0.03</v>
      </c>
      <c r="H145" s="8">
        <f t="shared" si="4"/>
        <v>32839.544</v>
      </c>
      <c r="I145" s="8">
        <f t="shared" si="5"/>
        <v>6567.9088</v>
      </c>
      <c r="J145" s="8" t="s">
        <v>360</v>
      </c>
    </row>
    <row r="146" ht="15.75" spans="1:10">
      <c r="A146" s="8" t="s">
        <v>361</v>
      </c>
      <c r="B146" s="8" t="s">
        <v>299</v>
      </c>
      <c r="C146" s="8" t="s">
        <v>29</v>
      </c>
      <c r="D146" s="8" t="s">
        <v>25</v>
      </c>
      <c r="E146" s="8">
        <v>2224.74</v>
      </c>
      <c r="F146" s="8">
        <v>9</v>
      </c>
      <c r="G146" s="8">
        <v>0.15</v>
      </c>
      <c r="H146" s="8">
        <f t="shared" si="4"/>
        <v>17019.261</v>
      </c>
      <c r="I146" s="8">
        <f t="shared" si="5"/>
        <v>3403.8522</v>
      </c>
      <c r="J146" s="8" t="s">
        <v>34</v>
      </c>
    </row>
    <row r="147" ht="15.75" spans="1:10">
      <c r="A147" s="8" t="s">
        <v>362</v>
      </c>
      <c r="B147" s="8" t="s">
        <v>277</v>
      </c>
      <c r="C147" s="8" t="s">
        <v>33</v>
      </c>
      <c r="D147" s="8" t="s">
        <v>17</v>
      </c>
      <c r="E147" s="8">
        <v>2796.93</v>
      </c>
      <c r="F147" s="8">
        <v>6</v>
      </c>
      <c r="G147" s="8">
        <v>0.15</v>
      </c>
      <c r="H147" s="8">
        <f t="shared" si="4"/>
        <v>14264.343</v>
      </c>
      <c r="I147" s="8">
        <f t="shared" si="5"/>
        <v>2852.8686</v>
      </c>
      <c r="J147" s="8" t="s">
        <v>363</v>
      </c>
    </row>
    <row r="148" ht="15.75" spans="1:10">
      <c r="A148" s="8" t="s">
        <v>364</v>
      </c>
      <c r="B148" s="8" t="s">
        <v>365</v>
      </c>
      <c r="C148" s="8" t="s">
        <v>12</v>
      </c>
      <c r="D148" s="8" t="s">
        <v>13</v>
      </c>
      <c r="E148" s="8">
        <v>3765.12</v>
      </c>
      <c r="F148" s="8">
        <v>7</v>
      </c>
      <c r="G148" s="8">
        <v>0.02</v>
      </c>
      <c r="H148" s="8">
        <f t="shared" si="4"/>
        <v>25828.7232</v>
      </c>
      <c r="I148" s="8">
        <f t="shared" si="5"/>
        <v>5165.74464</v>
      </c>
      <c r="J148" s="8" t="s">
        <v>207</v>
      </c>
    </row>
    <row r="149" ht="15.75" spans="1:10">
      <c r="A149" s="8" t="s">
        <v>366</v>
      </c>
      <c r="B149" s="8" t="s">
        <v>250</v>
      </c>
      <c r="C149" s="8" t="s">
        <v>33</v>
      </c>
      <c r="D149" s="8" t="s">
        <v>25</v>
      </c>
      <c r="E149" s="8">
        <v>3809.02</v>
      </c>
      <c r="F149" s="8">
        <v>3</v>
      </c>
      <c r="G149" s="8">
        <v>0.02</v>
      </c>
      <c r="H149" s="8">
        <f t="shared" si="4"/>
        <v>11198.5188</v>
      </c>
      <c r="I149" s="8">
        <f t="shared" si="5"/>
        <v>2239.70376</v>
      </c>
      <c r="J149" s="8" t="s">
        <v>83</v>
      </c>
    </row>
    <row r="150" ht="15.75" spans="1:10">
      <c r="A150" s="8" t="s">
        <v>367</v>
      </c>
      <c r="B150" s="8" t="s">
        <v>209</v>
      </c>
      <c r="C150" s="8" t="s">
        <v>33</v>
      </c>
      <c r="D150" s="8" t="s">
        <v>67</v>
      </c>
      <c r="E150" s="8">
        <v>1779.12</v>
      </c>
      <c r="F150" s="8">
        <v>4</v>
      </c>
      <c r="G150" s="8">
        <v>0.11</v>
      </c>
      <c r="H150" s="8">
        <f t="shared" si="4"/>
        <v>6333.6672</v>
      </c>
      <c r="I150" s="8">
        <f t="shared" si="5"/>
        <v>1266.73344</v>
      </c>
      <c r="J150" s="8" t="s">
        <v>204</v>
      </c>
    </row>
    <row r="151" ht="15.75" spans="1:10">
      <c r="A151" s="8" t="s">
        <v>368</v>
      </c>
      <c r="B151" s="8" t="s">
        <v>91</v>
      </c>
      <c r="C151" s="8" t="s">
        <v>37</v>
      </c>
      <c r="D151" s="8" t="s">
        <v>25</v>
      </c>
      <c r="E151" s="8">
        <v>2466.97</v>
      </c>
      <c r="F151" s="8">
        <v>7</v>
      </c>
      <c r="G151" s="8">
        <v>0.12</v>
      </c>
      <c r="H151" s="8">
        <f t="shared" si="4"/>
        <v>15196.5352</v>
      </c>
      <c r="I151" s="8">
        <f t="shared" si="5"/>
        <v>3039.30704</v>
      </c>
      <c r="J151" s="8" t="s">
        <v>369</v>
      </c>
    </row>
    <row r="152" ht="15.75" spans="1:10">
      <c r="A152" s="8" t="s">
        <v>370</v>
      </c>
      <c r="B152" s="8" t="s">
        <v>371</v>
      </c>
      <c r="C152" s="8" t="s">
        <v>33</v>
      </c>
      <c r="D152" s="8" t="s">
        <v>67</v>
      </c>
      <c r="E152" s="8">
        <v>336.77</v>
      </c>
      <c r="F152" s="8">
        <v>7</v>
      </c>
      <c r="G152" s="8">
        <v>0.16</v>
      </c>
      <c r="H152" s="8">
        <f t="shared" si="4"/>
        <v>1980.2076</v>
      </c>
      <c r="I152" s="8">
        <f t="shared" si="5"/>
        <v>396.04152</v>
      </c>
      <c r="J152" s="8" t="s">
        <v>372</v>
      </c>
    </row>
    <row r="153" ht="15.75" spans="1:10">
      <c r="A153" s="8" t="s">
        <v>373</v>
      </c>
      <c r="B153" s="8" t="s">
        <v>16</v>
      </c>
      <c r="C153" s="8" t="s">
        <v>12</v>
      </c>
      <c r="D153" s="8" t="s">
        <v>25</v>
      </c>
      <c r="E153" s="8">
        <v>3753.56</v>
      </c>
      <c r="F153" s="8">
        <v>1</v>
      </c>
      <c r="G153" s="8">
        <v>0.04</v>
      </c>
      <c r="H153" s="8">
        <f t="shared" si="4"/>
        <v>3603.4176</v>
      </c>
      <c r="I153" s="8">
        <f t="shared" si="5"/>
        <v>720.68352</v>
      </c>
      <c r="J153" s="8" t="s">
        <v>148</v>
      </c>
    </row>
    <row r="154" ht="15.75" spans="1:10">
      <c r="A154" s="8" t="s">
        <v>374</v>
      </c>
      <c r="B154" s="8" t="s">
        <v>250</v>
      </c>
      <c r="C154" s="8" t="s">
        <v>29</v>
      </c>
      <c r="D154" s="8" t="s">
        <v>13</v>
      </c>
      <c r="E154" s="8">
        <v>4283.27</v>
      </c>
      <c r="F154" s="8">
        <v>9</v>
      </c>
      <c r="G154" s="8">
        <v>0.11</v>
      </c>
      <c r="H154" s="8">
        <f t="shared" si="4"/>
        <v>34308.9927</v>
      </c>
      <c r="I154" s="8">
        <f t="shared" si="5"/>
        <v>6861.79854</v>
      </c>
      <c r="J154" s="8" t="s">
        <v>177</v>
      </c>
    </row>
    <row r="155" ht="15.75" spans="1:10">
      <c r="A155" s="8" t="s">
        <v>375</v>
      </c>
      <c r="B155" s="8" t="s">
        <v>186</v>
      </c>
      <c r="C155" s="8" t="s">
        <v>37</v>
      </c>
      <c r="D155" s="8" t="s">
        <v>13</v>
      </c>
      <c r="E155" s="8">
        <v>3926.27</v>
      </c>
      <c r="F155" s="8">
        <v>1</v>
      </c>
      <c r="G155" s="8">
        <v>0.02</v>
      </c>
      <c r="H155" s="8">
        <f t="shared" si="4"/>
        <v>3847.7446</v>
      </c>
      <c r="I155" s="8">
        <f t="shared" si="5"/>
        <v>769.54892</v>
      </c>
      <c r="J155" s="8" t="s">
        <v>175</v>
      </c>
    </row>
    <row r="156" ht="15.75" spans="1:10">
      <c r="A156" s="8" t="s">
        <v>376</v>
      </c>
      <c r="B156" s="8" t="s">
        <v>299</v>
      </c>
      <c r="C156" s="8" t="s">
        <v>29</v>
      </c>
      <c r="D156" s="8" t="s">
        <v>21</v>
      </c>
      <c r="E156" s="8">
        <v>4085.18</v>
      </c>
      <c r="F156" s="8">
        <v>9</v>
      </c>
      <c r="G156" s="8">
        <v>0.12</v>
      </c>
      <c r="H156" s="8">
        <f t="shared" si="4"/>
        <v>32354.6256</v>
      </c>
      <c r="I156" s="8">
        <f t="shared" si="5"/>
        <v>6470.92512</v>
      </c>
      <c r="J156" s="8" t="s">
        <v>377</v>
      </c>
    </row>
    <row r="157" ht="15.75" spans="1:10">
      <c r="A157" s="8" t="s">
        <v>378</v>
      </c>
      <c r="B157" s="8" t="s">
        <v>315</v>
      </c>
      <c r="C157" s="8" t="s">
        <v>29</v>
      </c>
      <c r="D157" s="8" t="s">
        <v>25</v>
      </c>
      <c r="E157" s="8">
        <v>1342.18</v>
      </c>
      <c r="F157" s="8">
        <v>4</v>
      </c>
      <c r="G157" s="8">
        <v>0.06</v>
      </c>
      <c r="H157" s="8">
        <f t="shared" si="4"/>
        <v>5046.5968</v>
      </c>
      <c r="I157" s="8">
        <f t="shared" si="5"/>
        <v>1009.31936</v>
      </c>
      <c r="J157" s="8" t="s">
        <v>379</v>
      </c>
    </row>
    <row r="158" ht="15.75" spans="1:10">
      <c r="A158" s="8" t="s">
        <v>380</v>
      </c>
      <c r="B158" s="8" t="s">
        <v>381</v>
      </c>
      <c r="C158" s="8" t="s">
        <v>29</v>
      </c>
      <c r="D158" s="8" t="s">
        <v>21</v>
      </c>
      <c r="E158" s="8">
        <v>2605.16</v>
      </c>
      <c r="F158" s="8">
        <v>8</v>
      </c>
      <c r="G158" s="8">
        <v>0.08</v>
      </c>
      <c r="H158" s="8">
        <f t="shared" si="4"/>
        <v>19173.9776</v>
      </c>
      <c r="I158" s="8">
        <f t="shared" si="5"/>
        <v>3834.79552</v>
      </c>
      <c r="J158" s="8" t="s">
        <v>382</v>
      </c>
    </row>
    <row r="159" ht="15.75" spans="1:10">
      <c r="A159" s="8" t="s">
        <v>383</v>
      </c>
      <c r="B159" s="8" t="s">
        <v>40</v>
      </c>
      <c r="C159" s="8" t="s">
        <v>37</v>
      </c>
      <c r="D159" s="8" t="s">
        <v>13</v>
      </c>
      <c r="E159" s="8">
        <v>4138.43</v>
      </c>
      <c r="F159" s="8">
        <v>9</v>
      </c>
      <c r="G159" s="8">
        <v>0.08</v>
      </c>
      <c r="H159" s="8">
        <f t="shared" si="4"/>
        <v>34266.2004</v>
      </c>
      <c r="I159" s="8">
        <f t="shared" si="5"/>
        <v>6853.24008</v>
      </c>
      <c r="J159" s="8" t="s">
        <v>41</v>
      </c>
    </row>
    <row r="160" ht="15.75" spans="1:10">
      <c r="A160" s="8" t="s">
        <v>384</v>
      </c>
      <c r="B160" s="8" t="s">
        <v>269</v>
      </c>
      <c r="C160" s="8" t="s">
        <v>33</v>
      </c>
      <c r="D160" s="8" t="s">
        <v>25</v>
      </c>
      <c r="E160" s="8">
        <v>3102.97</v>
      </c>
      <c r="F160" s="8">
        <v>4</v>
      </c>
      <c r="G160" s="8">
        <v>0.13</v>
      </c>
      <c r="H160" s="8">
        <f t="shared" si="4"/>
        <v>10798.3356</v>
      </c>
      <c r="I160" s="8">
        <f t="shared" si="5"/>
        <v>2159.66712</v>
      </c>
      <c r="J160" s="8" t="s">
        <v>385</v>
      </c>
    </row>
    <row r="161" ht="15.75" spans="1:10">
      <c r="A161" s="8" t="s">
        <v>386</v>
      </c>
      <c r="B161" s="8" t="s">
        <v>169</v>
      </c>
      <c r="C161" s="8" t="s">
        <v>33</v>
      </c>
      <c r="D161" s="8" t="s">
        <v>25</v>
      </c>
      <c r="E161" s="8">
        <v>429.8</v>
      </c>
      <c r="F161" s="8">
        <v>5</v>
      </c>
      <c r="G161" s="8">
        <v>0.05</v>
      </c>
      <c r="H161" s="8">
        <f t="shared" si="4"/>
        <v>2041.55</v>
      </c>
      <c r="I161" s="8">
        <f t="shared" si="5"/>
        <v>408.31</v>
      </c>
      <c r="J161" s="8" t="s">
        <v>61</v>
      </c>
    </row>
    <row r="162" ht="15.75" spans="1:10">
      <c r="A162" s="8" t="s">
        <v>387</v>
      </c>
      <c r="B162" s="8" t="s">
        <v>203</v>
      </c>
      <c r="C162" s="8" t="s">
        <v>29</v>
      </c>
      <c r="D162" s="8" t="s">
        <v>13</v>
      </c>
      <c r="E162" s="8">
        <v>3850.52</v>
      </c>
      <c r="F162" s="8">
        <v>8</v>
      </c>
      <c r="G162" s="8">
        <v>0.08</v>
      </c>
      <c r="H162" s="8">
        <f t="shared" si="4"/>
        <v>28339.8272</v>
      </c>
      <c r="I162" s="8">
        <f t="shared" si="5"/>
        <v>5667.96544</v>
      </c>
      <c r="J162" s="8" t="s">
        <v>388</v>
      </c>
    </row>
    <row r="163" ht="15.75" spans="1:10">
      <c r="A163" s="8" t="s">
        <v>389</v>
      </c>
      <c r="B163" s="8" t="s">
        <v>200</v>
      </c>
      <c r="C163" s="8" t="s">
        <v>33</v>
      </c>
      <c r="D163" s="8" t="s">
        <v>21</v>
      </c>
      <c r="E163" s="8">
        <v>3738.39</v>
      </c>
      <c r="F163" s="8">
        <v>2</v>
      </c>
      <c r="G163" s="8">
        <v>0.03</v>
      </c>
      <c r="H163" s="8">
        <f t="shared" si="4"/>
        <v>7252.4766</v>
      </c>
      <c r="I163" s="8">
        <f t="shared" si="5"/>
        <v>1450.49532</v>
      </c>
      <c r="J163" s="8" t="s">
        <v>390</v>
      </c>
    </row>
    <row r="164" ht="15.75" spans="1:10">
      <c r="A164" s="8" t="s">
        <v>391</v>
      </c>
      <c r="B164" s="8" t="s">
        <v>392</v>
      </c>
      <c r="C164" s="8" t="s">
        <v>33</v>
      </c>
      <c r="D164" s="8" t="s">
        <v>25</v>
      </c>
      <c r="E164" s="8">
        <v>3898.45</v>
      </c>
      <c r="F164" s="8">
        <v>5</v>
      </c>
      <c r="G164" s="8">
        <v>0.05</v>
      </c>
      <c r="H164" s="8">
        <f t="shared" si="4"/>
        <v>18517.6375</v>
      </c>
      <c r="I164" s="8">
        <f t="shared" si="5"/>
        <v>3703.5275</v>
      </c>
      <c r="J164" s="8" t="s">
        <v>212</v>
      </c>
    </row>
    <row r="165" ht="15.75" spans="1:10">
      <c r="A165" s="8" t="s">
        <v>393</v>
      </c>
      <c r="B165" s="8" t="s">
        <v>101</v>
      </c>
      <c r="C165" s="8" t="s">
        <v>37</v>
      </c>
      <c r="D165" s="8" t="s">
        <v>17</v>
      </c>
      <c r="E165" s="8">
        <v>2597.06</v>
      </c>
      <c r="F165" s="8">
        <v>6</v>
      </c>
      <c r="G165" s="8">
        <v>0.1</v>
      </c>
      <c r="H165" s="8">
        <f t="shared" si="4"/>
        <v>14024.124</v>
      </c>
      <c r="I165" s="8">
        <f t="shared" si="5"/>
        <v>2804.8248</v>
      </c>
      <c r="J165" s="8" t="s">
        <v>394</v>
      </c>
    </row>
    <row r="166" ht="15.75" spans="1:10">
      <c r="A166" s="8" t="s">
        <v>395</v>
      </c>
      <c r="B166" s="8" t="s">
        <v>392</v>
      </c>
      <c r="C166" s="8" t="s">
        <v>37</v>
      </c>
      <c r="D166" s="8" t="s">
        <v>25</v>
      </c>
      <c r="E166" s="8">
        <v>4675.9</v>
      </c>
      <c r="F166" s="8">
        <v>3</v>
      </c>
      <c r="G166" s="8">
        <v>0.06</v>
      </c>
      <c r="H166" s="8">
        <f t="shared" si="4"/>
        <v>13186.038</v>
      </c>
      <c r="I166" s="8">
        <f t="shared" si="5"/>
        <v>2637.2076</v>
      </c>
      <c r="J166" s="8" t="s">
        <v>175</v>
      </c>
    </row>
    <row r="167" ht="15.75" spans="1:10">
      <c r="A167" s="8" t="s">
        <v>396</v>
      </c>
      <c r="B167" s="8" t="s">
        <v>397</v>
      </c>
      <c r="C167" s="8" t="s">
        <v>33</v>
      </c>
      <c r="D167" s="8" t="s">
        <v>21</v>
      </c>
      <c r="E167" s="8">
        <v>1522.78</v>
      </c>
      <c r="F167" s="8">
        <v>9</v>
      </c>
      <c r="G167" s="8">
        <v>0.05</v>
      </c>
      <c r="H167" s="8">
        <f t="shared" si="4"/>
        <v>13019.769</v>
      </c>
      <c r="I167" s="8">
        <f t="shared" si="5"/>
        <v>2603.9538</v>
      </c>
      <c r="J167" s="8" t="s">
        <v>398</v>
      </c>
    </row>
    <row r="168" ht="15.75" spans="1:10">
      <c r="A168" s="8" t="s">
        <v>399</v>
      </c>
      <c r="B168" s="8" t="s">
        <v>381</v>
      </c>
      <c r="C168" s="8" t="s">
        <v>33</v>
      </c>
      <c r="D168" s="8" t="s">
        <v>13</v>
      </c>
      <c r="E168" s="8">
        <v>3272.7</v>
      </c>
      <c r="F168" s="8">
        <v>1</v>
      </c>
      <c r="G168" s="8">
        <v>0.2</v>
      </c>
      <c r="H168" s="8">
        <f t="shared" si="4"/>
        <v>2618.16</v>
      </c>
      <c r="I168" s="8">
        <f t="shared" si="5"/>
        <v>523.632</v>
      </c>
      <c r="J168" s="8" t="s">
        <v>175</v>
      </c>
    </row>
    <row r="169" ht="15.75" spans="1:10">
      <c r="A169" s="8" t="s">
        <v>400</v>
      </c>
      <c r="B169" s="8" t="s">
        <v>121</v>
      </c>
      <c r="C169" s="8" t="s">
        <v>12</v>
      </c>
      <c r="D169" s="8" t="s">
        <v>13</v>
      </c>
      <c r="E169" s="8">
        <v>3627.01</v>
      </c>
      <c r="F169" s="8">
        <v>5</v>
      </c>
      <c r="G169" s="8">
        <v>0.04</v>
      </c>
      <c r="H169" s="8">
        <f t="shared" si="4"/>
        <v>17409.648</v>
      </c>
      <c r="I169" s="8">
        <f t="shared" si="5"/>
        <v>3481.9296</v>
      </c>
      <c r="J169" s="8" t="s">
        <v>401</v>
      </c>
    </row>
    <row r="170" ht="15.75" spans="1:10">
      <c r="A170" s="8" t="s">
        <v>402</v>
      </c>
      <c r="B170" s="8" t="s">
        <v>344</v>
      </c>
      <c r="C170" s="8" t="s">
        <v>37</v>
      </c>
      <c r="D170" s="8" t="s">
        <v>13</v>
      </c>
      <c r="E170" s="8">
        <v>1070.81</v>
      </c>
      <c r="F170" s="8">
        <v>6</v>
      </c>
      <c r="G170" s="8">
        <v>0.15</v>
      </c>
      <c r="H170" s="8">
        <f t="shared" si="4"/>
        <v>5461.131</v>
      </c>
      <c r="I170" s="8">
        <f t="shared" si="5"/>
        <v>1092.2262</v>
      </c>
      <c r="J170" s="8" t="s">
        <v>403</v>
      </c>
    </row>
    <row r="171" ht="15.75" spans="1:10">
      <c r="A171" s="8" t="s">
        <v>404</v>
      </c>
      <c r="B171" s="8" t="s">
        <v>405</v>
      </c>
      <c r="C171" s="8" t="s">
        <v>12</v>
      </c>
      <c r="D171" s="8" t="s">
        <v>21</v>
      </c>
      <c r="E171" s="8">
        <v>3579.63</v>
      </c>
      <c r="F171" s="8">
        <v>7</v>
      </c>
      <c r="G171" s="8">
        <v>0.13</v>
      </c>
      <c r="H171" s="8">
        <f t="shared" si="4"/>
        <v>21799.9467</v>
      </c>
      <c r="I171" s="8">
        <f t="shared" si="5"/>
        <v>4359.98934</v>
      </c>
      <c r="J171" s="8" t="s">
        <v>406</v>
      </c>
    </row>
    <row r="172" ht="15.75" spans="1:10">
      <c r="A172" s="8" t="s">
        <v>407</v>
      </c>
      <c r="B172" s="8" t="s">
        <v>408</v>
      </c>
      <c r="C172" s="8" t="s">
        <v>37</v>
      </c>
      <c r="D172" s="8" t="s">
        <v>13</v>
      </c>
      <c r="E172" s="8">
        <v>3289.91</v>
      </c>
      <c r="F172" s="8">
        <v>4</v>
      </c>
      <c r="G172" s="8">
        <v>0.07</v>
      </c>
      <c r="H172" s="8">
        <f t="shared" si="4"/>
        <v>12238.4652</v>
      </c>
      <c r="I172" s="8">
        <f t="shared" si="5"/>
        <v>2447.69304</v>
      </c>
      <c r="J172" s="8" t="s">
        <v>409</v>
      </c>
    </row>
    <row r="173" ht="15.75" spans="1:10">
      <c r="A173" s="8" t="s">
        <v>410</v>
      </c>
      <c r="B173" s="8" t="s">
        <v>16</v>
      </c>
      <c r="C173" s="8" t="s">
        <v>29</v>
      </c>
      <c r="D173" s="8" t="s">
        <v>25</v>
      </c>
      <c r="E173" s="8">
        <v>2941.08</v>
      </c>
      <c r="F173" s="8">
        <v>7</v>
      </c>
      <c r="G173" s="8">
        <v>0.09</v>
      </c>
      <c r="H173" s="8">
        <f t="shared" si="4"/>
        <v>18734.6796</v>
      </c>
      <c r="I173" s="8">
        <f t="shared" si="5"/>
        <v>3746.93592</v>
      </c>
      <c r="J173" s="8" t="s">
        <v>264</v>
      </c>
    </row>
    <row r="174" ht="15.75" spans="1:10">
      <c r="A174" s="8" t="s">
        <v>411</v>
      </c>
      <c r="B174" s="8" t="s">
        <v>57</v>
      </c>
      <c r="C174" s="8" t="s">
        <v>29</v>
      </c>
      <c r="D174" s="8" t="s">
        <v>25</v>
      </c>
      <c r="E174" s="8">
        <v>1875.29</v>
      </c>
      <c r="F174" s="8">
        <v>3</v>
      </c>
      <c r="G174" s="8">
        <v>0.1</v>
      </c>
      <c r="H174" s="8">
        <f t="shared" si="4"/>
        <v>5063.283</v>
      </c>
      <c r="I174" s="8">
        <f t="shared" si="5"/>
        <v>1012.6566</v>
      </c>
      <c r="J174" s="8" t="s">
        <v>96</v>
      </c>
    </row>
    <row r="175" ht="15.75" spans="1:10">
      <c r="A175" s="8" t="s">
        <v>412</v>
      </c>
      <c r="B175" s="8" t="s">
        <v>197</v>
      </c>
      <c r="C175" s="8" t="s">
        <v>29</v>
      </c>
      <c r="D175" s="8" t="s">
        <v>25</v>
      </c>
      <c r="E175" s="8">
        <v>666.61</v>
      </c>
      <c r="F175" s="8">
        <v>9</v>
      </c>
      <c r="G175" s="8">
        <v>0.05</v>
      </c>
      <c r="H175" s="8">
        <f t="shared" si="4"/>
        <v>5699.5155</v>
      </c>
      <c r="I175" s="8">
        <f t="shared" si="5"/>
        <v>1139.9031</v>
      </c>
      <c r="J175" s="8" t="s">
        <v>413</v>
      </c>
    </row>
    <row r="176" ht="15.75" spans="1:10">
      <c r="A176" s="8" t="s">
        <v>414</v>
      </c>
      <c r="B176" s="8" t="s">
        <v>79</v>
      </c>
      <c r="C176" s="8" t="s">
        <v>29</v>
      </c>
      <c r="D176" s="8" t="s">
        <v>21</v>
      </c>
      <c r="E176" s="8">
        <v>3567.85</v>
      </c>
      <c r="F176" s="8">
        <v>1</v>
      </c>
      <c r="G176" s="8">
        <v>0.03</v>
      </c>
      <c r="H176" s="8">
        <f t="shared" si="4"/>
        <v>3460.8145</v>
      </c>
      <c r="I176" s="8">
        <f t="shared" si="5"/>
        <v>692.1629</v>
      </c>
      <c r="J176" s="8" t="s">
        <v>415</v>
      </c>
    </row>
    <row r="177" ht="15.75" spans="1:10">
      <c r="A177" s="8" t="s">
        <v>416</v>
      </c>
      <c r="B177" s="8" t="s">
        <v>417</v>
      </c>
      <c r="C177" s="8" t="s">
        <v>29</v>
      </c>
      <c r="D177" s="8" t="s">
        <v>13</v>
      </c>
      <c r="E177" s="8">
        <v>2392.75</v>
      </c>
      <c r="F177" s="8">
        <v>1</v>
      </c>
      <c r="G177" s="8">
        <v>0.08</v>
      </c>
      <c r="H177" s="8">
        <f t="shared" si="4"/>
        <v>2201.33</v>
      </c>
      <c r="I177" s="8">
        <f t="shared" si="5"/>
        <v>440.266</v>
      </c>
      <c r="J177" s="8" t="s">
        <v>418</v>
      </c>
    </row>
    <row r="178" ht="15.75" spans="1:10">
      <c r="A178" s="8" t="s">
        <v>419</v>
      </c>
      <c r="B178" s="8" t="s">
        <v>247</v>
      </c>
      <c r="C178" s="8" t="s">
        <v>12</v>
      </c>
      <c r="D178" s="8" t="s">
        <v>17</v>
      </c>
      <c r="E178" s="8">
        <v>3736.64</v>
      </c>
      <c r="F178" s="8">
        <v>1</v>
      </c>
      <c r="G178" s="8">
        <v>0.03</v>
      </c>
      <c r="H178" s="8">
        <f t="shared" si="4"/>
        <v>3624.5408</v>
      </c>
      <c r="I178" s="8">
        <f t="shared" si="5"/>
        <v>724.90816</v>
      </c>
      <c r="J178" s="8" t="s">
        <v>388</v>
      </c>
    </row>
    <row r="179" ht="15.75" spans="1:10">
      <c r="A179" s="8" t="s">
        <v>420</v>
      </c>
      <c r="B179" s="8" t="s">
        <v>130</v>
      </c>
      <c r="C179" s="8" t="s">
        <v>37</v>
      </c>
      <c r="D179" s="8" t="s">
        <v>13</v>
      </c>
      <c r="E179" s="8">
        <v>4556.94</v>
      </c>
      <c r="F179" s="8">
        <v>3</v>
      </c>
      <c r="G179" s="8">
        <v>0.14</v>
      </c>
      <c r="H179" s="8">
        <f t="shared" si="4"/>
        <v>11756.9052</v>
      </c>
      <c r="I179" s="8">
        <f t="shared" si="5"/>
        <v>2351.38104</v>
      </c>
      <c r="J179" s="8" t="s">
        <v>421</v>
      </c>
    </row>
    <row r="180" ht="15.75" spans="1:10">
      <c r="A180" s="8" t="s">
        <v>422</v>
      </c>
      <c r="B180" s="8" t="s">
        <v>423</v>
      </c>
      <c r="C180" s="8" t="s">
        <v>37</v>
      </c>
      <c r="D180" s="8" t="s">
        <v>17</v>
      </c>
      <c r="E180" s="8">
        <v>4108.71</v>
      </c>
      <c r="F180" s="8">
        <v>6</v>
      </c>
      <c r="G180" s="8">
        <v>0.07</v>
      </c>
      <c r="H180" s="8">
        <f t="shared" si="4"/>
        <v>22926.6018</v>
      </c>
      <c r="I180" s="8">
        <f t="shared" si="5"/>
        <v>4585.32036</v>
      </c>
      <c r="J180" s="8" t="s">
        <v>152</v>
      </c>
    </row>
    <row r="181" ht="15.75" spans="1:10">
      <c r="A181" s="8" t="s">
        <v>424</v>
      </c>
      <c r="B181" s="8" t="s">
        <v>263</v>
      </c>
      <c r="C181" s="8" t="s">
        <v>29</v>
      </c>
      <c r="D181" s="8" t="s">
        <v>67</v>
      </c>
      <c r="E181" s="8">
        <v>3867.75</v>
      </c>
      <c r="F181" s="8">
        <v>3</v>
      </c>
      <c r="G181" s="8">
        <v>0.11</v>
      </c>
      <c r="H181" s="8">
        <f t="shared" si="4"/>
        <v>10326.8925</v>
      </c>
      <c r="I181" s="8">
        <f t="shared" si="5"/>
        <v>2065.3785</v>
      </c>
      <c r="J181" s="8" t="s">
        <v>425</v>
      </c>
    </row>
    <row r="182" ht="15.75" spans="1:10">
      <c r="A182" s="8" t="s">
        <v>426</v>
      </c>
      <c r="B182" s="8" t="s">
        <v>186</v>
      </c>
      <c r="C182" s="8" t="s">
        <v>12</v>
      </c>
      <c r="D182" s="8" t="s">
        <v>17</v>
      </c>
      <c r="E182" s="8">
        <v>4111.11</v>
      </c>
      <c r="F182" s="8">
        <v>3</v>
      </c>
      <c r="G182" s="8">
        <v>0.16</v>
      </c>
      <c r="H182" s="8">
        <f t="shared" si="4"/>
        <v>10359.9972</v>
      </c>
      <c r="I182" s="8">
        <f t="shared" si="5"/>
        <v>2071.99944</v>
      </c>
      <c r="J182" s="8" t="s">
        <v>237</v>
      </c>
    </row>
    <row r="183" ht="15.75" spans="1:10">
      <c r="A183" s="8" t="s">
        <v>427</v>
      </c>
      <c r="B183" s="8" t="s">
        <v>428</v>
      </c>
      <c r="C183" s="8" t="s">
        <v>37</v>
      </c>
      <c r="D183" s="8" t="s">
        <v>13</v>
      </c>
      <c r="E183" s="8">
        <v>2949.03</v>
      </c>
      <c r="F183" s="8">
        <v>4</v>
      </c>
      <c r="G183" s="8">
        <v>0.12</v>
      </c>
      <c r="H183" s="8">
        <f t="shared" si="4"/>
        <v>10380.5856</v>
      </c>
      <c r="I183" s="8">
        <f t="shared" si="5"/>
        <v>2076.11712</v>
      </c>
      <c r="J183" s="8" t="s">
        <v>429</v>
      </c>
    </row>
    <row r="184" ht="15.75" spans="1:10">
      <c r="A184" s="8" t="s">
        <v>430</v>
      </c>
      <c r="B184" s="8" t="s">
        <v>431</v>
      </c>
      <c r="C184" s="8" t="s">
        <v>29</v>
      </c>
      <c r="D184" s="8" t="s">
        <v>21</v>
      </c>
      <c r="E184" s="8">
        <v>2254.2</v>
      </c>
      <c r="F184" s="8">
        <v>2</v>
      </c>
      <c r="G184" s="8">
        <v>0.15</v>
      </c>
      <c r="H184" s="8">
        <f t="shared" si="4"/>
        <v>3832.14</v>
      </c>
      <c r="I184" s="8">
        <f t="shared" si="5"/>
        <v>766.428</v>
      </c>
      <c r="J184" s="8" t="s">
        <v>432</v>
      </c>
    </row>
    <row r="185" ht="15.75" spans="1:10">
      <c r="A185" s="8" t="s">
        <v>433</v>
      </c>
      <c r="B185" s="8" t="s">
        <v>285</v>
      </c>
      <c r="C185" s="8" t="s">
        <v>33</v>
      </c>
      <c r="D185" s="8" t="s">
        <v>67</v>
      </c>
      <c r="E185" s="8">
        <v>2208.82</v>
      </c>
      <c r="F185" s="8">
        <v>8</v>
      </c>
      <c r="G185" s="8">
        <v>0.11</v>
      </c>
      <c r="H185" s="8">
        <f t="shared" si="4"/>
        <v>15726.7984</v>
      </c>
      <c r="I185" s="8">
        <f t="shared" si="5"/>
        <v>3145.35968</v>
      </c>
      <c r="J185" s="8" t="s">
        <v>34</v>
      </c>
    </row>
    <row r="186" ht="15.75" spans="1:10">
      <c r="A186" s="8" t="s">
        <v>434</v>
      </c>
      <c r="B186" s="8" t="s">
        <v>244</v>
      </c>
      <c r="C186" s="8" t="s">
        <v>33</v>
      </c>
      <c r="D186" s="8" t="s">
        <v>21</v>
      </c>
      <c r="E186" s="8">
        <v>2400.35</v>
      </c>
      <c r="F186" s="8">
        <v>8</v>
      </c>
      <c r="G186" s="8">
        <v>0.18</v>
      </c>
      <c r="H186" s="8">
        <f t="shared" si="4"/>
        <v>15746.296</v>
      </c>
      <c r="I186" s="8">
        <f t="shared" si="5"/>
        <v>3149.2592</v>
      </c>
      <c r="J186" s="8" t="s">
        <v>435</v>
      </c>
    </row>
    <row r="187" ht="15.75" spans="1:10">
      <c r="A187" s="8" t="s">
        <v>436</v>
      </c>
      <c r="B187" s="8" t="s">
        <v>319</v>
      </c>
      <c r="C187" s="8" t="s">
        <v>29</v>
      </c>
      <c r="D187" s="8" t="s">
        <v>67</v>
      </c>
      <c r="E187" s="8">
        <v>631.77</v>
      </c>
      <c r="F187" s="8">
        <v>7</v>
      </c>
      <c r="G187" s="8">
        <v>0.01</v>
      </c>
      <c r="H187" s="8">
        <f t="shared" si="4"/>
        <v>4378.1661</v>
      </c>
      <c r="I187" s="8">
        <f t="shared" si="5"/>
        <v>875.63322</v>
      </c>
      <c r="J187" s="8" t="s">
        <v>437</v>
      </c>
    </row>
    <row r="188" ht="15.75" spans="1:10">
      <c r="A188" s="8" t="s">
        <v>438</v>
      </c>
      <c r="B188" s="8" t="s">
        <v>231</v>
      </c>
      <c r="C188" s="8" t="s">
        <v>12</v>
      </c>
      <c r="D188" s="8" t="s">
        <v>21</v>
      </c>
      <c r="E188" s="8">
        <v>1372.74</v>
      </c>
      <c r="F188" s="8">
        <v>8</v>
      </c>
      <c r="G188" s="8">
        <v>0.19</v>
      </c>
      <c r="H188" s="8">
        <f t="shared" si="4"/>
        <v>8895.3552</v>
      </c>
      <c r="I188" s="8">
        <f t="shared" si="5"/>
        <v>1779.07104</v>
      </c>
      <c r="J188" s="8" t="s">
        <v>439</v>
      </c>
    </row>
    <row r="189" ht="15.75" spans="1:10">
      <c r="A189" s="8" t="s">
        <v>440</v>
      </c>
      <c r="B189" s="8" t="s">
        <v>239</v>
      </c>
      <c r="C189" s="8" t="s">
        <v>12</v>
      </c>
      <c r="D189" s="8" t="s">
        <v>25</v>
      </c>
      <c r="E189" s="8">
        <v>756.91</v>
      </c>
      <c r="F189" s="8">
        <v>6</v>
      </c>
      <c r="G189" s="8">
        <v>0.16</v>
      </c>
      <c r="H189" s="8">
        <f t="shared" si="4"/>
        <v>3814.8264</v>
      </c>
      <c r="I189" s="8">
        <f t="shared" si="5"/>
        <v>762.96528</v>
      </c>
      <c r="J189" s="8" t="s">
        <v>441</v>
      </c>
    </row>
    <row r="190" ht="15.75" spans="1:10">
      <c r="A190" s="8" t="s">
        <v>442</v>
      </c>
      <c r="B190" s="8" t="s">
        <v>63</v>
      </c>
      <c r="C190" s="8" t="s">
        <v>37</v>
      </c>
      <c r="D190" s="8" t="s">
        <v>13</v>
      </c>
      <c r="E190" s="8">
        <v>913.31</v>
      </c>
      <c r="F190" s="8">
        <v>1</v>
      </c>
      <c r="G190" s="8">
        <v>0.09</v>
      </c>
      <c r="H190" s="8">
        <f t="shared" si="4"/>
        <v>831.1121</v>
      </c>
      <c r="I190" s="8">
        <f t="shared" si="5"/>
        <v>166.22242</v>
      </c>
      <c r="J190" s="8" t="s">
        <v>218</v>
      </c>
    </row>
    <row r="191" ht="15.75" spans="1:10">
      <c r="A191" s="8" t="s">
        <v>443</v>
      </c>
      <c r="B191" s="8" t="s">
        <v>444</v>
      </c>
      <c r="C191" s="8" t="s">
        <v>33</v>
      </c>
      <c r="D191" s="8" t="s">
        <v>13</v>
      </c>
      <c r="E191" s="8">
        <v>2155.46</v>
      </c>
      <c r="F191" s="8">
        <v>5</v>
      </c>
      <c r="G191" s="8">
        <v>0.02</v>
      </c>
      <c r="H191" s="8">
        <f t="shared" si="4"/>
        <v>10561.754</v>
      </c>
      <c r="I191" s="8">
        <f t="shared" si="5"/>
        <v>2112.3508</v>
      </c>
      <c r="J191" s="8" t="s">
        <v>290</v>
      </c>
    </row>
    <row r="192" ht="15.75" spans="1:10">
      <c r="A192" s="8" t="s">
        <v>445</v>
      </c>
      <c r="B192" s="8" t="s">
        <v>446</v>
      </c>
      <c r="C192" s="8" t="s">
        <v>33</v>
      </c>
      <c r="D192" s="8" t="s">
        <v>17</v>
      </c>
      <c r="E192" s="8">
        <v>1717.17</v>
      </c>
      <c r="F192" s="8">
        <v>2</v>
      </c>
      <c r="G192" s="8">
        <v>0.11</v>
      </c>
      <c r="H192" s="8">
        <f t="shared" si="4"/>
        <v>3056.5626</v>
      </c>
      <c r="I192" s="8">
        <f t="shared" si="5"/>
        <v>611.31252</v>
      </c>
      <c r="J192" s="8" t="s">
        <v>447</v>
      </c>
    </row>
    <row r="193" ht="15.75" spans="1:10">
      <c r="A193" s="8" t="s">
        <v>448</v>
      </c>
      <c r="B193" s="8" t="s">
        <v>112</v>
      </c>
      <c r="C193" s="8" t="s">
        <v>12</v>
      </c>
      <c r="D193" s="8" t="s">
        <v>17</v>
      </c>
      <c r="E193" s="8">
        <v>3183.6</v>
      </c>
      <c r="F193" s="8">
        <v>6</v>
      </c>
      <c r="G193" s="8">
        <v>0.05</v>
      </c>
      <c r="H193" s="8">
        <f t="shared" si="4"/>
        <v>18146.52</v>
      </c>
      <c r="I193" s="8">
        <f t="shared" si="5"/>
        <v>3629.304</v>
      </c>
      <c r="J193" s="8" t="s">
        <v>439</v>
      </c>
    </row>
    <row r="194" ht="15.75" spans="1:10">
      <c r="A194" s="8" t="s">
        <v>449</v>
      </c>
      <c r="B194" s="8" t="s">
        <v>450</v>
      </c>
      <c r="C194" s="8" t="s">
        <v>37</v>
      </c>
      <c r="D194" s="8" t="s">
        <v>25</v>
      </c>
      <c r="E194" s="8">
        <v>4083.19</v>
      </c>
      <c r="F194" s="8">
        <v>6</v>
      </c>
      <c r="G194" s="8">
        <v>0.15</v>
      </c>
      <c r="H194" s="8">
        <f t="shared" ref="H194:H201" si="6">E194*F194*(1-G194)</f>
        <v>20824.269</v>
      </c>
      <c r="I194" s="8">
        <f t="shared" ref="I194:I201" si="7">H194*0.2</f>
        <v>4164.8538</v>
      </c>
      <c r="J194" s="8" t="s">
        <v>77</v>
      </c>
    </row>
    <row r="195" ht="15.75" spans="1:10">
      <c r="A195" s="8" t="s">
        <v>451</v>
      </c>
      <c r="B195" s="8" t="s">
        <v>332</v>
      </c>
      <c r="C195" s="8" t="s">
        <v>12</v>
      </c>
      <c r="D195" s="8" t="s">
        <v>13</v>
      </c>
      <c r="E195" s="8">
        <v>3104.37</v>
      </c>
      <c r="F195" s="8">
        <v>1</v>
      </c>
      <c r="G195" s="8">
        <v>0.11</v>
      </c>
      <c r="H195" s="8">
        <f t="shared" si="6"/>
        <v>2762.8893</v>
      </c>
      <c r="I195" s="8">
        <f t="shared" si="7"/>
        <v>552.57786</v>
      </c>
      <c r="J195" s="8" t="s">
        <v>398</v>
      </c>
    </row>
    <row r="196" ht="15.75" spans="1:10">
      <c r="A196" s="8" t="s">
        <v>452</v>
      </c>
      <c r="B196" s="8" t="s">
        <v>200</v>
      </c>
      <c r="C196" s="8" t="s">
        <v>12</v>
      </c>
      <c r="D196" s="8" t="s">
        <v>67</v>
      </c>
      <c r="E196" s="8">
        <v>1545.24</v>
      </c>
      <c r="F196" s="8">
        <v>1</v>
      </c>
      <c r="G196" s="8">
        <v>0.03</v>
      </c>
      <c r="H196" s="8">
        <f t="shared" si="6"/>
        <v>1498.8828</v>
      </c>
      <c r="I196" s="8">
        <f t="shared" si="7"/>
        <v>299.77656</v>
      </c>
      <c r="J196" s="8" t="s">
        <v>453</v>
      </c>
    </row>
    <row r="197" ht="15.75" spans="1:10">
      <c r="A197" s="8" t="s">
        <v>454</v>
      </c>
      <c r="B197" s="8" t="s">
        <v>330</v>
      </c>
      <c r="C197" s="8" t="s">
        <v>33</v>
      </c>
      <c r="D197" s="8" t="s">
        <v>67</v>
      </c>
      <c r="E197" s="8">
        <v>1174.11</v>
      </c>
      <c r="F197" s="8">
        <v>7</v>
      </c>
      <c r="G197" s="8">
        <v>0.07</v>
      </c>
      <c r="H197" s="8">
        <f t="shared" si="6"/>
        <v>7643.4561</v>
      </c>
      <c r="I197" s="8">
        <f t="shared" si="7"/>
        <v>1528.69122</v>
      </c>
      <c r="J197" s="8" t="s">
        <v>455</v>
      </c>
    </row>
    <row r="198" ht="15.75" spans="1:10">
      <c r="A198" s="8" t="s">
        <v>456</v>
      </c>
      <c r="B198" s="8" t="s">
        <v>457</v>
      </c>
      <c r="C198" s="8" t="s">
        <v>29</v>
      </c>
      <c r="D198" s="8" t="s">
        <v>17</v>
      </c>
      <c r="E198" s="8">
        <v>583.53</v>
      </c>
      <c r="F198" s="8">
        <v>8</v>
      </c>
      <c r="G198" s="8">
        <v>0.13</v>
      </c>
      <c r="H198" s="8">
        <f t="shared" si="6"/>
        <v>4061.3688</v>
      </c>
      <c r="I198" s="8">
        <f t="shared" si="7"/>
        <v>812.27376</v>
      </c>
      <c r="J198" s="8" t="s">
        <v>458</v>
      </c>
    </row>
    <row r="199" ht="15.75" spans="1:10">
      <c r="A199" s="8" t="s">
        <v>459</v>
      </c>
      <c r="B199" s="8" t="s">
        <v>32</v>
      </c>
      <c r="C199" s="8" t="s">
        <v>29</v>
      </c>
      <c r="D199" s="8" t="s">
        <v>17</v>
      </c>
      <c r="E199" s="8">
        <v>3370.33</v>
      </c>
      <c r="F199" s="8">
        <v>2</v>
      </c>
      <c r="G199" s="8">
        <v>0.03</v>
      </c>
      <c r="H199" s="8">
        <f t="shared" si="6"/>
        <v>6538.4402</v>
      </c>
      <c r="I199" s="8">
        <f t="shared" si="7"/>
        <v>1307.68804</v>
      </c>
      <c r="J199" s="8" t="s">
        <v>292</v>
      </c>
    </row>
    <row r="200" ht="15.75" spans="1:10">
      <c r="A200" s="8" t="s">
        <v>460</v>
      </c>
      <c r="B200" s="8" t="s">
        <v>115</v>
      </c>
      <c r="C200" s="8" t="s">
        <v>12</v>
      </c>
      <c r="D200" s="8" t="s">
        <v>25</v>
      </c>
      <c r="E200" s="8">
        <v>344.88</v>
      </c>
      <c r="F200" s="8">
        <v>5</v>
      </c>
      <c r="G200" s="8">
        <v>0.12</v>
      </c>
      <c r="H200" s="8">
        <f t="shared" si="6"/>
        <v>1517.472</v>
      </c>
      <c r="I200" s="8">
        <f t="shared" si="7"/>
        <v>303.4944</v>
      </c>
      <c r="J200" s="8" t="s">
        <v>363</v>
      </c>
    </row>
    <row r="201" ht="15.75" spans="1:10">
      <c r="A201" s="8" t="s">
        <v>461</v>
      </c>
      <c r="B201" s="8" t="s">
        <v>462</v>
      </c>
      <c r="C201" s="8" t="s">
        <v>29</v>
      </c>
      <c r="D201" s="8" t="s">
        <v>17</v>
      </c>
      <c r="E201" s="8">
        <v>2708.14</v>
      </c>
      <c r="F201" s="8">
        <v>1</v>
      </c>
      <c r="G201" s="8">
        <v>0.11</v>
      </c>
      <c r="H201" s="8">
        <f t="shared" si="6"/>
        <v>2410.2446</v>
      </c>
      <c r="I201" s="8">
        <f t="shared" si="7"/>
        <v>482.04892</v>
      </c>
      <c r="J201" s="8" t="s">
        <v>242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15" sqref="B15"/>
    </sheetView>
  </sheetViews>
  <sheetFormatPr defaultColWidth="9" defaultRowHeight="15" outlineLevelCol="3"/>
  <cols>
    <col min="1" max="1" width="39.8571428571429" customWidth="1"/>
    <col min="2" max="2" width="22.8571428571429" customWidth="1"/>
    <col min="4" max="4" width="33.2857142857143" customWidth="1"/>
  </cols>
  <sheetData>
    <row r="1" ht="20.25" spans="1:4">
      <c r="A1" s="5" t="s">
        <v>463</v>
      </c>
      <c r="B1" s="2"/>
      <c r="C1" s="2"/>
      <c r="D1" s="2"/>
    </row>
    <row r="3" ht="15.75" spans="1:2">
      <c r="A3" s="3" t="s">
        <v>464</v>
      </c>
      <c r="B3" s="3">
        <f>AVERAGE(Dataset!H:H)</f>
        <v>11766.733355</v>
      </c>
    </row>
    <row r="4" ht="15.75" spans="1:2">
      <c r="A4" s="4"/>
      <c r="B4" s="4"/>
    </row>
    <row r="5" ht="15.75" spans="1:2">
      <c r="A5" s="3" t="s">
        <v>465</v>
      </c>
      <c r="B5" s="3">
        <f>MAX(Dataset!H:H)</f>
        <v>40943.5254</v>
      </c>
    </row>
    <row r="6" ht="15.75" spans="1:2">
      <c r="A6" s="4"/>
      <c r="B6" s="4"/>
    </row>
    <row r="7" ht="15.75" spans="1:2">
      <c r="A7" s="3" t="s">
        <v>466</v>
      </c>
      <c r="B7" s="3">
        <f>MIN(Dataset!H:H)</f>
        <v>347.8464</v>
      </c>
    </row>
    <row r="8" ht="15.75" spans="1:2">
      <c r="A8" s="4"/>
      <c r="B8" s="4"/>
    </row>
    <row r="9" ht="15.75" spans="1:2">
      <c r="A9" s="3" t="s">
        <v>467</v>
      </c>
      <c r="B9" s="3">
        <f>COUNTA(Dataset!A:A)</f>
        <v>201</v>
      </c>
    </row>
    <row r="10" ht="15.75" spans="1:2">
      <c r="A10" s="4"/>
      <c r="B10" s="4"/>
    </row>
    <row r="11" ht="15.75" spans="1:2">
      <c r="A11" s="3" t="s">
        <v>468</v>
      </c>
      <c r="B11" s="3" t="str">
        <f>INDEX(Dataset!B:B,MATCH(MAX(Dataset!H:H),Dataset!H:H,0))</f>
        <v>Dev Desai</v>
      </c>
    </row>
    <row r="12" ht="15.75" spans="1:2">
      <c r="A12" s="4"/>
      <c r="B12" s="4"/>
    </row>
    <row r="13" ht="15.75" spans="1:2">
      <c r="A13" s="3" t="s">
        <v>469</v>
      </c>
      <c r="B13" s="3">
        <f ca="1">NOW()</f>
        <v>45967.6860185185</v>
      </c>
    </row>
    <row r="14" ht="15.75" spans="1:2">
      <c r="A14" s="4"/>
      <c r="B14" s="4"/>
    </row>
    <row r="15" ht="15.75" spans="1:2">
      <c r="A15" s="3" t="s">
        <v>470</v>
      </c>
      <c r="B15" s="3" t="str">
        <f>_xlfn._xlws.FILTER(Dataset!B:H,Dataset!H:H&gt;AVERAGE(Dataset!H:H))</f>
        <v>Customer_Name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H48" sqref="H48"/>
    </sheetView>
  </sheetViews>
  <sheetFormatPr defaultColWidth="9" defaultRowHeight="15" outlineLevelRow="6" outlineLevelCol="3"/>
  <cols>
    <col min="1" max="1" width="24.8571428571429" customWidth="1"/>
    <col min="2" max="2" width="23.8571428571429" customWidth="1"/>
    <col min="4" max="4" width="44.7142857142857" customWidth="1"/>
  </cols>
  <sheetData>
    <row r="1" ht="20.25" spans="1:4">
      <c r="A1" s="1" t="s">
        <v>471</v>
      </c>
      <c r="B1" s="2"/>
      <c r="C1" s="2"/>
      <c r="D1" s="2"/>
    </row>
    <row r="3" ht="15.75" spans="1:2">
      <c r="A3" s="3" t="s">
        <v>472</v>
      </c>
      <c r="B3" s="3">
        <f>SUM(Dataset!H:H)</f>
        <v>2353346.671</v>
      </c>
    </row>
    <row r="4" ht="15.75" spans="1:2">
      <c r="A4" s="4"/>
      <c r="B4" s="4"/>
    </row>
    <row r="5" ht="15.75" spans="1:2">
      <c r="A5" s="3" t="s">
        <v>473</v>
      </c>
      <c r="B5" s="3">
        <f>SUM(Dataset!I:I)</f>
        <v>470669.3342</v>
      </c>
    </row>
    <row r="6" ht="15.75" spans="1:2">
      <c r="A6" s="4"/>
      <c r="B6" s="4"/>
    </row>
    <row r="7" ht="15.75" spans="1:2">
      <c r="A7" s="3" t="s">
        <v>474</v>
      </c>
      <c r="B7" s="3">
        <f>AVERAGE(Dataset!G:G)</f>
        <v>0.0998</v>
      </c>
    </row>
  </sheetData>
  <mergeCells count="1">
    <mergeCell ref="A1:D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kale</cp:lastModifiedBy>
  <dcterms:created xsi:type="dcterms:W3CDTF">2025-10-16T03:26:00Z</dcterms:created>
  <dcterms:modified xsi:type="dcterms:W3CDTF">2025-11-07T12:04:24Z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CDF656CA9E4B4259ABBB0EDBFA33CECD_12</vt:lpwstr>
  </property>
  <property fmtid="{D5CDD505-2E9C-101B-9397-08002B2CF9AE}" pid="3" name="KSOProductBuildVer">
    <vt:lpwstr>1033-12.2.0.22549</vt:lpwstr>
  </property>
</Properties>
</file>