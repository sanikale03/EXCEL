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All Queries (5 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<sst xmlns="http://schemas.openxmlformats.org/spreadsheetml/2006/main" count="123" uniqueCount="86">
  <si>
    <t>Query 1 – IF Formula</t>
  </si>
  <si>
    <t>Name</t>
  </si>
  <si>
    <t>Marks</t>
  </si>
  <si>
    <t>Result</t>
  </si>
  <si>
    <t>Aarav</t>
  </si>
  <si>
    <t>Diya</t>
  </si>
  <si>
    <t>Kabir</t>
  </si>
  <si>
    <t>Meera</t>
  </si>
  <si>
    <t>Riya</t>
  </si>
  <si>
    <t>Query 2 – Nested IF</t>
  </si>
  <si>
    <t>Grade</t>
  </si>
  <si>
    <t>Query 3 – AND/OR Formula</t>
  </si>
  <si>
    <t>Math</t>
  </si>
  <si>
    <t>Science</t>
  </si>
  <si>
    <t>Top Performer</t>
  </si>
  <si>
    <t>Good Student</t>
  </si>
  <si>
    <t>Query 4 – COUNTIFS / SUMIFS / AVERAGEIFS</t>
  </si>
  <si>
    <t>Count&gt;60</t>
  </si>
  <si>
    <t>Average&gt;60</t>
  </si>
  <si>
    <t>Query 5 – VLOOKUP</t>
  </si>
  <si>
    <t>Product ID</t>
  </si>
  <si>
    <t>Product Name</t>
  </si>
  <si>
    <t>Price</t>
  </si>
  <si>
    <t>Notebook</t>
  </si>
  <si>
    <t>Exact Match (FALSE)</t>
  </si>
  <si>
    <t>Approx Match (TRUE)</t>
  </si>
  <si>
    <t>Pen</t>
  </si>
  <si>
    <t>Bag</t>
  </si>
  <si>
    <t>Shoes</t>
  </si>
  <si>
    <t>Watch</t>
  </si>
  <si>
    <t>Product Price Lookup</t>
  </si>
  <si>
    <t>Query 6 – INDEX + MATCH</t>
  </si>
  <si>
    <t>Sales</t>
  </si>
  <si>
    <t>Rohan</t>
  </si>
  <si>
    <t>Priya</t>
  </si>
  <si>
    <t>Amit</t>
  </si>
  <si>
    <t>Sneha</t>
  </si>
  <si>
    <t>Karan</t>
  </si>
  <si>
    <t>Find Amit’s Sales</t>
  </si>
  <si>
    <t>Query 7 – TEXT Functions</t>
  </si>
  <si>
    <t>Full Name</t>
  </si>
  <si>
    <t>First Name</t>
  </si>
  <si>
    <t>Uppercase</t>
  </si>
  <si>
    <t>Lowercase</t>
  </si>
  <si>
    <t>Aarav Sharma</t>
  </si>
  <si>
    <t>Diya Patel</t>
  </si>
  <si>
    <t>Kabir Mehta</t>
  </si>
  <si>
    <t>Meera Jain</t>
  </si>
  <si>
    <t>Riya Nair</t>
  </si>
  <si>
    <t>Query 8 – DATE &amp; TIME</t>
  </si>
  <si>
    <t>Join Date</t>
  </si>
  <si>
    <t>Years Since Joining</t>
  </si>
  <si>
    <t>2020-05-10</t>
  </si>
  <si>
    <t>2021-06-18</t>
  </si>
  <si>
    <t>2019-02-12</t>
  </si>
  <si>
    <t>2023-03-25</t>
  </si>
  <si>
    <t>2022-08-09</t>
  </si>
  <si>
    <t>Query 9 – ROUND / CEILING / FLOOR</t>
  </si>
  <si>
    <t>Value</t>
  </si>
  <si>
    <t>Rounded</t>
  </si>
  <si>
    <t>Ceiling</t>
  </si>
  <si>
    <t>Floor</t>
  </si>
  <si>
    <t>Query 10 – FILTER</t>
  </si>
  <si>
    <t>Filtered &gt;60</t>
  </si>
  <si>
    <t>Query 11 – INDIRECT</t>
  </si>
  <si>
    <t>Cell</t>
  </si>
  <si>
    <t>Using INDIRECT</t>
  </si>
  <si>
    <t>B3</t>
  </si>
  <si>
    <t>85</t>
  </si>
  <si>
    <t>B4</t>
  </si>
  <si>
    <t>55</t>
  </si>
  <si>
    <t>B5</t>
  </si>
  <si>
    <t>72</t>
  </si>
  <si>
    <t>B6</t>
  </si>
  <si>
    <t>49</t>
  </si>
  <si>
    <t>B7</t>
  </si>
  <si>
    <t>90</t>
  </si>
  <si>
    <t>Query 12 – OFFSET</t>
  </si>
  <si>
    <t>Start Cell</t>
  </si>
  <si>
    <t>Rows Down</t>
  </si>
  <si>
    <t>Cols Right</t>
  </si>
  <si>
    <t>A3</t>
  </si>
  <si>
    <t>A4</t>
  </si>
  <si>
    <t>A5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</si>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</sst>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"/>
  <sheetViews>
    <sheetView tabSelected="1" topLeftCell="A70" workbookViewId="0">
      <selection activeCell="B80" sqref="B80"/>
    </sheetView>
  </sheetViews>
  <sheetFormatPr defaultColWidth="9" defaultRowHeight="15" outlineLevelCol="5"/>
  <cols>
    <col min="1" max="6" width="22" customWidth="1"/>
  </cols>
  <sheetData>
    <row r="1" spans="1:1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>
        <v>85</v>
      </c>
      <c r="C3" t="str">
        <f>IF(B3&gt;60,"Pass","Fail")</f>
        <v>Pass</v>
      </c>
    </row>
    <row r="4" spans="1:3">
      <c r="A4" t="s">
        <v>5</v>
      </c>
      <c r="B4">
        <v>55</v>
      </c>
      <c r="C4" t="str">
        <f>IF(B4&gt;60,"Pass","Fail")</f>
        <v>Fail</v>
      </c>
    </row>
    <row r="5" spans="1:3">
      <c r="A5" t="s">
        <v>6</v>
      </c>
      <c r="B5">
        <v>72</v>
      </c>
      <c r="C5" t="str">
        <f>IF(B5&gt;60,"Pass","Fail")</f>
        <v>Pass</v>
      </c>
    </row>
    <row r="6" spans="1:3">
      <c r="A6" t="s">
        <v>7</v>
      </c>
      <c r="B6">
        <v>49</v>
      </c>
      <c r="C6" t="str">
        <f>IF(B6&gt;60,"Pass","Fail")</f>
        <v>Fail</v>
      </c>
    </row>
    <row r="7" spans="1:3">
      <c r="A7" t="s">
        <v>8</v>
      </c>
      <c r="B7">
        <v>90</v>
      </c>
      <c r="C7" t="str">
        <f>IF(B7&gt;60,"Pass","Fail")</f>
        <v>Pass</v>
      </c>
    </row>
    <row r="10" spans="1:1">
      <c r="A10" s="1" t="s">
        <v>9</v>
      </c>
    </row>
    <row r="11" spans="1:3">
      <c r="A11" s="2" t="s">
        <v>1</v>
      </c>
      <c r="B11" s="2" t="s">
        <v>2</v>
      </c>
      <c r="C11" s="2" t="s">
        <v>10</v>
      </c>
    </row>
    <row r="12" spans="1:3">
      <c r="A12" t="s">
        <v>4</v>
      </c>
      <c r="B12">
        <v>95</v>
      </c>
      <c r="C12" t="str">
        <f>IF(B10&gt;=80,"A",IF(B10&gt;=60,"B","C"))</f>
        <v>C</v>
      </c>
    </row>
    <row r="13" spans="1:3">
      <c r="A13" t="s">
        <v>5</v>
      </c>
      <c r="B13">
        <v>78</v>
      </c>
      <c r="C13" t="str">
        <f>IF(B11&gt;=80,"A",IF(B11&gt;=60,"B","C"))</f>
        <v>A</v>
      </c>
    </row>
    <row r="14" spans="1:3">
      <c r="A14" t="s">
        <v>6</v>
      </c>
      <c r="B14">
        <v>62</v>
      </c>
      <c r="C14" t="str">
        <f>IF(B12&gt;=80,"A",IF(B12&gt;=60,"B","C"))</f>
        <v>A</v>
      </c>
    </row>
    <row r="15" spans="1:3">
      <c r="A15" t="s">
        <v>7</v>
      </c>
      <c r="B15">
        <v>45</v>
      </c>
      <c r="C15" t="str">
        <f>IF(B13&gt;=80,"A",IF(B13&gt;=60,"B","C"))</f>
        <v>B</v>
      </c>
    </row>
    <row r="16" spans="1:3">
      <c r="A16" t="s">
        <v>8</v>
      </c>
      <c r="B16">
        <v>83</v>
      </c>
      <c r="C16" t="str">
        <f>IF(B14&gt;=80,"A",IF(B14&gt;=60,"B","C"))</f>
        <v>B</v>
      </c>
    </row>
    <row r="19" spans="1:1">
      <c r="A19" s="1" t="s">
        <v>11</v>
      </c>
    </row>
    <row r="20" spans="1:5">
      <c r="A20" s="2" t="s">
        <v>1</v>
      </c>
      <c r="B20" s="2" t="s">
        <v>12</v>
      </c>
      <c r="C20" s="2" t="s">
        <v>13</v>
      </c>
      <c r="D20" s="2" t="s">
        <v>14</v>
      </c>
      <c r="E20" s="2" t="s">
        <v>15</v>
      </c>
    </row>
    <row r="21" spans="1:5">
      <c r="A21" t="s">
        <v>4</v>
      </c>
      <c r="B21">
        <v>85</v>
      </c>
      <c r="C21">
        <v>82</v>
      </c>
      <c r="D21" t="str">
        <f>IF(AND(B17&gt;80,C17&gt;80),"Yes","No")</f>
        <v>No</v>
      </c>
      <c r="E21" t="str">
        <f>IF(OR(B17&gt;80,C17&gt;80),"Yes","No")</f>
        <v>No</v>
      </c>
    </row>
    <row r="22" spans="1:5">
      <c r="A22" t="s">
        <v>5</v>
      </c>
      <c r="B22">
        <v>78</v>
      </c>
      <c r="C22">
        <v>60</v>
      </c>
      <c r="D22" t="str">
        <f>IF(AND(B18&gt;80,C18&gt;80),"Yes","No")</f>
        <v>No</v>
      </c>
      <c r="E22" t="str">
        <f>IF(OR(B18&gt;80,C18&gt;80),"Yes","No")</f>
        <v>No</v>
      </c>
    </row>
    <row r="23" spans="1:5">
      <c r="A23" t="s">
        <v>6</v>
      </c>
      <c r="B23">
        <v>90</v>
      </c>
      <c r="C23">
        <v>92</v>
      </c>
      <c r="D23" t="str">
        <f>IF(AND(B19&gt;80,C19&gt;80),"Yes","No")</f>
        <v>No</v>
      </c>
      <c r="E23" t="str">
        <f>IF(OR(B19&gt;80,C19&gt;80),"Yes","No")</f>
        <v>No</v>
      </c>
    </row>
    <row r="24" spans="1:5">
      <c r="A24" t="s">
        <v>7</v>
      </c>
      <c r="B24">
        <v>55</v>
      </c>
      <c r="C24">
        <v>65</v>
      </c>
      <c r="D24" t="str">
        <f>IF(AND(B20&gt;80,C20&gt;80),"Yes","No")</f>
        <v>Yes</v>
      </c>
      <c r="E24" t="str">
        <f>IF(OR(B20&gt;80,C20&gt;80),"Yes","No")</f>
        <v>Yes</v>
      </c>
    </row>
    <row r="25" spans="1:5">
      <c r="A25" t="s">
        <v>8</v>
      </c>
      <c r="B25">
        <v>81</v>
      </c>
      <c r="C25">
        <v>84</v>
      </c>
      <c r="D25" t="str">
        <f>IF(AND(B21&gt;80,C21&gt;80),"Yes","No")</f>
        <v>Yes</v>
      </c>
      <c r="E25" t="str">
        <f>IF(OR(B21&gt;80,C21&gt;80),"Yes","No")</f>
        <v>Yes</v>
      </c>
    </row>
    <row r="28" spans="1:1">
      <c r="A28" s="1" t="s">
        <v>16</v>
      </c>
    </row>
    <row r="29" spans="1:4">
      <c r="A29" s="2" t="s">
        <v>1</v>
      </c>
      <c r="B29" s="2" t="s">
        <v>2</v>
      </c>
      <c r="C29" s="2" t="s">
        <v>17</v>
      </c>
      <c r="D29" s="2" t="s">
        <v>18</v>
      </c>
    </row>
    <row r="30" spans="1:4">
      <c r="A30" t="s">
        <v>4</v>
      </c>
      <c r="B30">
        <v>85</v>
      </c>
      <c r="C30">
        <f>COUNTIFS(B24:B28,"&gt;60")</f>
        <v>1</v>
      </c>
      <c r="D30">
        <f>AVERAGEIFS(B24:B28,B24:B28,"&gt;60")</f>
        <v>81</v>
      </c>
    </row>
    <row r="31" spans="1:2">
      <c r="A31" t="s">
        <v>5</v>
      </c>
      <c r="B31">
        <v>75</v>
      </c>
    </row>
    <row r="32" spans="1:2">
      <c r="A32" t="s">
        <v>6</v>
      </c>
      <c r="B32">
        <v>45</v>
      </c>
    </row>
    <row r="33" spans="1:2">
      <c r="A33" t="s">
        <v>7</v>
      </c>
      <c r="B33">
        <v>90</v>
      </c>
    </row>
    <row r="34" spans="1:2">
      <c r="A34" t="s">
        <v>8</v>
      </c>
      <c r="B34">
        <v>65</v>
      </c>
    </row>
    <row r="37" spans="1:1">
      <c r="A37" s="1" t="s">
        <v>19</v>
      </c>
    </row>
    <row r="38" spans="1:3">
      <c r="A38" s="2" t="s">
        <v>20</v>
      </c>
      <c r="B38" s="2" t="s">
        <v>21</v>
      </c>
      <c r="C38" s="2" t="s">
        <v>22</v>
      </c>
    </row>
    <row r="39" spans="1:5">
      <c r="A39">
        <v>101</v>
      </c>
      <c r="B39" t="s">
        <v>23</v>
      </c>
      <c r="C39">
        <v>120</v>
      </c>
      <c r="D39" s="2" t="s">
        <v>24</v>
      </c>
      <c r="E39" s="2" t="s">
        <v>25</v>
      </c>
    </row>
    <row r="40" spans="1:3">
      <c r="A40">
        <v>102</v>
      </c>
      <c r="B40" t="s">
        <v>26</v>
      </c>
      <c r="C40">
        <v>30</v>
      </c>
    </row>
    <row r="41" spans="1:3">
      <c r="A41">
        <v>103</v>
      </c>
      <c r="B41" t="s">
        <v>27</v>
      </c>
      <c r="C41">
        <v>900</v>
      </c>
    </row>
    <row r="42" spans="1:3">
      <c r="A42">
        <v>104</v>
      </c>
      <c r="B42" t="s">
        <v>28</v>
      </c>
      <c r="C42">
        <v>1500</v>
      </c>
    </row>
    <row r="43" spans="1:3">
      <c r="A43">
        <v>105</v>
      </c>
      <c r="B43" t="s">
        <v>29</v>
      </c>
      <c r="C43">
        <v>2000</v>
      </c>
    </row>
    <row r="44" spans="1:3">
      <c r="A44" t="s">
        <v>30</v>
      </c>
      <c r="C44" t="e">
        <f>VLOOKUP(104,A31:C35,3,FALSE)</f>
        <v>#N/A</v>
      </c>
    </row>
    <row r="45" spans="1:5">
      <c r="A45" t="s">
        <v>30</v>
      </c>
      <c r="D45" t="e">
        <f>VLOOKUP(104,A31:C35,3,FALSE)</f>
        <v>#N/A</v>
      </c>
      <c r="E45" t="e">
        <f>VLOOKUP(104,A31:C35,3,TRUE)</f>
        <v>#N/A</v>
      </c>
    </row>
    <row r="47" spans="1:1">
      <c r="A47" s="1" t="s">
        <v>31</v>
      </c>
    </row>
    <row r="48" spans="1:2">
      <c r="A48" s="2" t="s">
        <v>1</v>
      </c>
      <c r="B48" s="2" t="s">
        <v>32</v>
      </c>
    </row>
    <row r="49" spans="1:2">
      <c r="A49" t="s">
        <v>33</v>
      </c>
      <c r="B49">
        <v>1200</v>
      </c>
    </row>
    <row r="50" spans="1:2">
      <c r="A50" t="s">
        <v>34</v>
      </c>
      <c r="B50">
        <v>950</v>
      </c>
    </row>
    <row r="51" spans="1:2">
      <c r="A51" t="s">
        <v>35</v>
      </c>
      <c r="B51">
        <v>1500</v>
      </c>
    </row>
    <row r="52" spans="1:2">
      <c r="A52" t="s">
        <v>36</v>
      </c>
      <c r="B52">
        <v>1100</v>
      </c>
    </row>
    <row r="53" spans="1:2">
      <c r="A53" t="s">
        <v>37</v>
      </c>
      <c r="B53">
        <v>1250</v>
      </c>
    </row>
    <row r="54" spans="1:3">
      <c r="A54" t="s">
        <v>38</v>
      </c>
      <c r="C54" t="e">
        <f>INDEX(B39:B43,MATCH("Amit",A39:A43,0))</f>
        <v>#N/A</v>
      </c>
    </row>
    <row r="57" spans="1:1">
      <c r="A57" s="1" t="s">
        <v>39</v>
      </c>
    </row>
    <row r="58" spans="1:4">
      <c r="A58" s="2" t="s">
        <v>40</v>
      </c>
      <c r="B58" s="2" t="s">
        <v>41</v>
      </c>
      <c r="C58" s="2" t="s">
        <v>42</v>
      </c>
      <c r="D58" s="2" t="s">
        <v>43</v>
      </c>
    </row>
    <row r="59" spans="1:4">
      <c r="A59" t="s">
        <v>44</v>
      </c>
      <c r="B59" t="e">
        <f>LEFT(A46,FIND(" ",A46)-1)</f>
        <v>#VALUE!</v>
      </c>
      <c r="C59" t="str">
        <f>UPPER(A46)</f>
        <v/>
      </c>
      <c r="D59" t="str">
        <f>LOWER(A46)</f>
        <v/>
      </c>
    </row>
    <row r="60" spans="1:4">
      <c r="A60" t="s">
        <v>45</v>
      </c>
      <c r="B60" t="str">
        <f>LEFT(A47,FIND(" ",A47)-1)</f>
        <v>Query</v>
      </c>
      <c r="C60" t="str">
        <f>UPPER(A47)</f>
        <v>QUERY 6 – INDEX + MATCH</v>
      </c>
      <c r="D60" t="str">
        <f>LOWER(A47)</f>
        <v>query 6 – index + match</v>
      </c>
    </row>
    <row r="61" spans="1:4">
      <c r="A61" t="s">
        <v>46</v>
      </c>
      <c r="B61" t="e">
        <f>LEFT(A48,FIND(" ",A48)-1)</f>
        <v>#VALUE!</v>
      </c>
      <c r="C61" t="str">
        <f>UPPER(A48)</f>
        <v>NAME</v>
      </c>
      <c r="D61" t="str">
        <f>LOWER(A48)</f>
        <v>name</v>
      </c>
    </row>
    <row r="62" spans="1:4">
      <c r="A62" t="s">
        <v>47</v>
      </c>
      <c r="B62" t="e">
        <f>LEFT(A49,FIND(" ",A49)-1)</f>
        <v>#VALUE!</v>
      </c>
      <c r="C62" t="str">
        <f>UPPER(A49)</f>
        <v>ROHAN</v>
      </c>
      <c r="D62" t="str">
        <f>LOWER(A49)</f>
        <v>rohan</v>
      </c>
    </row>
    <row r="63" spans="1:4">
      <c r="A63" t="s">
        <v>48</v>
      </c>
      <c r="B63" t="e">
        <f>LEFT(A50,FIND(" ",A50)-1)</f>
        <v>#VALUE!</v>
      </c>
      <c r="C63" t="str">
        <f>UPPER(A50)</f>
        <v>PRIYA</v>
      </c>
      <c r="D63" t="str">
        <f>LOWER(A50)</f>
        <v>priya</v>
      </c>
    </row>
    <row r="66" spans="1:1">
      <c r="A66" s="1" t="s">
        <v>49</v>
      </c>
    </row>
    <row r="67" spans="1:3">
      <c r="A67" s="2" t="s">
        <v>1</v>
      </c>
      <c r="B67" s="2" t="s">
        <v>50</v>
      </c>
      <c r="C67" s="2" t="s">
        <v>51</v>
      </c>
    </row>
    <row r="68" spans="1:3">
      <c r="A68" t="s">
        <v>4</v>
      </c>
      <c r="B68" t="s">
        <v>52</v>
      </c>
      <c r="C68">
        <f ca="1">DATEDIF(B53,TODAY(),"Y")</f>
        <v>122</v>
      </c>
    </row>
    <row r="69" spans="1:3">
      <c r="A69" t="s">
        <v>5</v>
      </c>
      <c r="B69" t="s">
        <v>53</v>
      </c>
      <c r="C69">
        <f ca="1">DATEDIF(B54,TODAY(),"Y")</f>
        <v>125</v>
      </c>
    </row>
    <row r="70" spans="1:3">
      <c r="A70" t="s">
        <v>6</v>
      </c>
      <c r="B70" t="s">
        <v>54</v>
      </c>
      <c r="C70">
        <f ca="1">DATEDIF(B55,TODAY(),"Y")</f>
        <v>125</v>
      </c>
    </row>
    <row r="71" spans="1:3">
      <c r="A71" t="s">
        <v>7</v>
      </c>
      <c r="B71" t="s">
        <v>55</v>
      </c>
      <c r="C71">
        <f ca="1">DATEDIF(B56,TODAY(),"Y")</f>
        <v>125</v>
      </c>
    </row>
    <row r="72" spans="1:3">
      <c r="A72" t="s">
        <v>8</v>
      </c>
      <c r="B72" t="s">
        <v>56</v>
      </c>
      <c r="C72">
        <f ca="1">DATEDIF(B57,TODAY(),"Y")</f>
        <v>125</v>
      </c>
    </row>
    <row r="75" spans="1:1">
      <c r="A75" s="1" t="s">
        <v>57</v>
      </c>
    </row>
    <row r="76" spans="1:4">
      <c r="A76" s="2" t="s">
        <v>58</v>
      </c>
      <c r="B76" s="2" t="s">
        <v>59</v>
      </c>
      <c r="C76" s="2" t="s">
        <v>60</v>
      </c>
      <c r="D76" s="2" t="s">
        <v>61</v>
      </c>
    </row>
    <row r="77" spans="1:4">
      <c r="A77">
        <v>123.67</v>
      </c>
      <c r="B77" t="e">
        <f>ROUND(A60,0)</f>
        <v>#VALUE!</v>
      </c>
      <c r="C77" t="e">
        <f>CEILING(A60,10)</f>
        <v>#VALUE!</v>
      </c>
      <c r="D77" t="e">
        <f>FLOOR(A60,10)</f>
        <v>#VALUE!</v>
      </c>
    </row>
    <row r="78" spans="1:4">
      <c r="A78">
        <v>278.49</v>
      </c>
      <c r="B78" t="e">
        <f>ROUND(A61,0)</f>
        <v>#VALUE!</v>
      </c>
      <c r="C78" t="e">
        <f>CEILING(A61,10)</f>
        <v>#VALUE!</v>
      </c>
      <c r="D78" t="e">
        <f>FLOOR(A61,10)</f>
        <v>#VALUE!</v>
      </c>
    </row>
    <row r="79" spans="1:4">
      <c r="A79">
        <v>899.99</v>
      </c>
      <c r="B79" t="e">
        <f>ROUND(A62,0)</f>
        <v>#VALUE!</v>
      </c>
      <c r="C79" t="e">
        <f>CEILING(A62,10)</f>
        <v>#VALUE!</v>
      </c>
      <c r="D79" t="e">
        <f>FLOOR(A62,10)</f>
        <v>#VALUE!</v>
      </c>
    </row>
    <row r="80" spans="1:4">
      <c r="A80">
        <v>100.05</v>
      </c>
      <c r="B80" t="e">
        <f>ROUND(A63,0)</f>
        <v>#VALUE!</v>
      </c>
      <c r="C80" t="e">
        <f>CEILING(A63,10)</f>
        <v>#VALUE!</v>
      </c>
      <c r="D80" t="e">
        <f>FLOOR(A63,10)</f>
        <v>#VALUE!</v>
      </c>
    </row>
    <row r="81" spans="1:4">
      <c r="A81">
        <v>49.45</v>
      </c>
      <c r="B81">
        <f>ROUND(A64,0)</f>
        <v>0</v>
      </c>
      <c r="C81">
        <f>CEILING(A64,10)</f>
        <v>0</v>
      </c>
      <c r="D81">
        <f>FLOOR(A64,10)</f>
        <v>0</v>
      </c>
    </row>
    <row r="84" spans="1:1">
      <c r="A84" s="1" t="s">
        <v>62</v>
      </c>
    </row>
    <row r="85" spans="1:2">
      <c r="A85" s="2" t="s">
        <v>1</v>
      </c>
      <c r="B85" s="2" t="s">
        <v>2</v>
      </c>
    </row>
    <row r="86" spans="1:2">
      <c r="A86" t="s">
        <v>4</v>
      </c>
      <c r="B86">
        <v>85</v>
      </c>
    </row>
    <row r="87" spans="1:2">
      <c r="A87" t="s">
        <v>5</v>
      </c>
      <c r="B87">
        <v>75</v>
      </c>
    </row>
    <row r="88" spans="1:2">
      <c r="A88" t="s">
        <v>6</v>
      </c>
      <c r="B88">
        <v>45</v>
      </c>
    </row>
    <row r="89" spans="1:2">
      <c r="A89" t="s">
        <v>7</v>
      </c>
      <c r="B89">
        <v>90</v>
      </c>
    </row>
    <row r="90" spans="1:2">
      <c r="A90" t="s">
        <v>8</v>
      </c>
      <c r="B90">
        <v>65</v>
      </c>
    </row>
    <row r="91" spans="1:2">
      <c r="A91" t="s">
        <v>63</v>
      </c>
      <c r="B91" t="str">
        <f>_xlfn._xlws.FILTER(A67:B71,B67:B71&gt;60)</f>
        <v>Name</v>
      </c>
    </row>
    <row r="94" spans="1:1">
      <c r="A94" s="1" t="s">
        <v>64</v>
      </c>
    </row>
    <row r="95" spans="1:3">
      <c r="A95" s="2" t="s">
        <v>65</v>
      </c>
      <c r="B95" s="2" t="s">
        <v>58</v>
      </c>
      <c r="C95" s="2" t="s">
        <v>66</v>
      </c>
    </row>
    <row r="96" spans="1:3">
      <c r="A96" t="s">
        <v>67</v>
      </c>
      <c r="B96" t="s">
        <v>68</v>
      </c>
      <c r="C96" t="e">
        <f ca="1">INDIRECT(A73)</f>
        <v>#REF!</v>
      </c>
    </row>
    <row r="97" spans="1:3">
      <c r="A97" t="s">
        <v>69</v>
      </c>
      <c r="B97" t="s">
        <v>70</v>
      </c>
      <c r="C97" t="e">
        <f ca="1">INDIRECT(A74)</f>
        <v>#REF!</v>
      </c>
    </row>
    <row r="98" spans="1:3">
      <c r="A98" t="s">
        <v>71</v>
      </c>
      <c r="B98" t="s">
        <v>72</v>
      </c>
      <c r="C98" t="e">
        <f ca="1">INDIRECT(A75)</f>
        <v>#REF!</v>
      </c>
    </row>
    <row r="99" spans="1:3">
      <c r="A99" t="s">
        <v>73</v>
      </c>
      <c r="B99" t="s">
        <v>74</v>
      </c>
      <c r="C99" t="e">
        <f ca="1">INDIRECT(A76)</f>
        <v>#REF!</v>
      </c>
    </row>
    <row r="100" spans="1:3">
      <c r="A100" t="s">
        <v>75</v>
      </c>
      <c r="B100" t="s">
        <v>76</v>
      </c>
      <c r="C100" t="e">
        <f ca="1">INDIRECT(A77)</f>
        <v>#REF!</v>
      </c>
    </row>
    <row r="103" spans="1:1">
      <c r="A103" s="1" t="s">
        <v>77</v>
      </c>
    </row>
    <row r="104" spans="1:4">
      <c r="A104" s="2" t="s">
        <v>78</v>
      </c>
      <c r="B104" s="2" t="s">
        <v>79</v>
      </c>
      <c r="C104" s="2" t="s">
        <v>80</v>
      </c>
      <c r="D104" s="2" t="s">
        <v>3</v>
      </c>
    </row>
    <row r="105" spans="1:4">
      <c r="A105" t="s">
        <v>81</v>
      </c>
      <c r="B105">
        <v>2</v>
      </c>
      <c r="C105">
        <v>1</v>
      </c>
      <c r="D105">
        <f ca="1">OFFSET(A3,2,1)</f>
        <v>72</v>
      </c>
    </row>
    <row r="106" spans="1:4">
      <c r="A106" t="s">
        <v>82</v>
      </c>
      <c r="B106">
        <v>3</v>
      </c>
      <c r="C106">
        <v>1</v>
      </c>
      <c r="D106">
        <f ca="1">OFFSET(A4,3,1)</f>
        <v>90</v>
      </c>
    </row>
    <row r="107" spans="1:4">
      <c r="A107" t="s">
        <v>83</v>
      </c>
      <c r="B107">
        <v>1</v>
      </c>
      <c r="C107">
        <v>2</v>
      </c>
      <c r="D107" t="str">
        <f ca="1">OFFSET(A5,1,2)</f>
        <v>Fail</v>
      </c>
    </row>
    <row r="108" spans="1:4">
      <c r="A108" t="s">
        <v>84</v>
      </c>
      <c r="B108">
        <v>2</v>
      </c>
      <c r="C108">
        <v>2</v>
      </c>
      <c r="D108">
        <f ca="1">OFFSET(A6,2,2)</f>
        <v>0</v>
      </c>
    </row>
    <row r="109" spans="1:4">
      <c r="A109" t="s">
        <v>85</v>
      </c>
      <c r="B109">
        <v>4</v>
      </c>
      <c r="C109">
        <v>1</v>
      </c>
      <c r="D109" t="str">
        <f ca="1">OFFSET(A7,4,1)</f>
        <v>Marks</v>
      </c>
    </row>
  </sheetData>
  <mergeCells count="12">
    <mergeCell ref="A1:F1"/>
    <mergeCell ref="A10:F10"/>
    <mergeCell ref="A19:F19"/>
    <mergeCell ref="A28:F28"/>
    <mergeCell ref="A37:F37"/>
    <mergeCell ref="A47:F47"/>
    <mergeCell ref="A57:F57"/>
    <mergeCell ref="A66:F66"/>
    <mergeCell ref="A75:F75"/>
    <mergeCell ref="A84:F84"/>
    <mergeCell ref="A94:F94"/>
    <mergeCell ref="A103:F10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Queries (5 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2025-10-12T09:48:00Z</dcterms:created>
  <dcterms:modified xsi:type="dcterms:W3CDTF">2025-10-17T12:38:17Z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7F91CEB5BAD84FB1AB1BB97EB6C591F9_12</vt:lpwstr>
  </property>
  <property fmtid="{D5CDD505-2E9C-101B-9397-08002B2CF9AE}" pid="3" name="KSOProductBuildVer">
    <vt:lpwstr>1033-12.2.0.22549</vt:lpwstr>
  </property>
</Properties>
</file>