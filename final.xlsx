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7919246059a64305/Desktop/RWNV/EXCEL/EXAM/"/>
    </mc:Choice>
  </mc:AlternateContent>
  <xr:revisionPtr revIDLastSave="9" documentId="8_{048BD20F-08A6-4AF8-8EB8-FFFD3ACDA8C2}" xr6:coauthVersionLast="47" xr6:coauthVersionMax="47" xr10:uidLastSave="{86D0981D-9605-4830-8C81-88881FD79BB1}"/>
  <bookViews>
    <workbookView xWindow="-120" yWindow="-120" windowWidth="20730" windowHeight="11040" activeTab="1" xr2:uid="{00000000-000D-0000-FFFF-FFFF00000000}"/>
  </bookViews>
  <sheets>
    <sheet name="Analyze" sheetId="2" r:id="rId1"/>
    <sheet name="Raw Data" sheetId="4" r:id="rId2"/>
    <sheet name="Dashboard" sheetId="3" r:id="rId3"/>
    <sheet name="Data" sheetId="1" r:id="rId4"/>
  </sheets>
  <definedNames>
    <definedName name="NativeTimeline_Date1">#N/A</definedName>
    <definedName name="Slicer_Month">#N/A</definedName>
    <definedName name="Slicer_nest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L101" i="1"/>
  <c r="K101" i="1"/>
  <c r="J101" i="1"/>
  <c r="L100" i="1"/>
  <c r="K100" i="1"/>
  <c r="J100" i="1"/>
  <c r="L99" i="1"/>
  <c r="K99" i="1"/>
  <c r="J99" i="1"/>
  <c r="L98" i="1"/>
  <c r="K98" i="1"/>
  <c r="J98" i="1"/>
  <c r="L97" i="1"/>
  <c r="K97" i="1"/>
  <c r="J97" i="1"/>
  <c r="L96" i="1"/>
  <c r="K96" i="1"/>
  <c r="J96" i="1"/>
  <c r="L95" i="1"/>
  <c r="K95" i="1"/>
  <c r="J95" i="1"/>
  <c r="L94" i="1"/>
  <c r="K94" i="1"/>
  <c r="J94" i="1"/>
  <c r="L93" i="1"/>
  <c r="K93" i="1"/>
  <c r="J93" i="1"/>
  <c r="L92" i="1"/>
  <c r="K92" i="1"/>
  <c r="J92" i="1"/>
  <c r="L91" i="1"/>
  <c r="K91" i="1"/>
  <c r="J91" i="1"/>
  <c r="L90" i="1"/>
  <c r="K90" i="1"/>
  <c r="J90" i="1"/>
  <c r="L89" i="1"/>
  <c r="K89" i="1"/>
  <c r="J89" i="1"/>
  <c r="L88" i="1"/>
  <c r="K88" i="1"/>
  <c r="J88" i="1"/>
  <c r="L87" i="1"/>
  <c r="K87" i="1"/>
  <c r="J87" i="1"/>
  <c r="L86" i="1"/>
  <c r="K86" i="1"/>
  <c r="J86" i="1"/>
  <c r="L85" i="1"/>
  <c r="K85" i="1"/>
  <c r="J85" i="1"/>
  <c r="L84" i="1"/>
  <c r="K84" i="1"/>
  <c r="J84" i="1"/>
  <c r="L83" i="1"/>
  <c r="K83" i="1"/>
  <c r="J83" i="1"/>
  <c r="L82" i="1"/>
  <c r="K82" i="1"/>
  <c r="J82" i="1"/>
  <c r="L81" i="1"/>
  <c r="K81" i="1"/>
  <c r="J81" i="1"/>
  <c r="L80" i="1"/>
  <c r="K80" i="1"/>
  <c r="J80" i="1"/>
  <c r="L79" i="1"/>
  <c r="K79" i="1"/>
  <c r="J79" i="1"/>
  <c r="L78" i="1"/>
  <c r="K78" i="1"/>
  <c r="J78" i="1"/>
  <c r="L77" i="1"/>
  <c r="K77" i="1"/>
  <c r="J77" i="1"/>
  <c r="L76" i="1"/>
  <c r="K76" i="1"/>
  <c r="J76" i="1"/>
  <c r="L75" i="1"/>
  <c r="K75" i="1"/>
  <c r="J75" i="1"/>
  <c r="L74" i="1"/>
  <c r="K74" i="1"/>
  <c r="J74" i="1"/>
  <c r="L73" i="1"/>
  <c r="K73" i="1"/>
  <c r="J73" i="1"/>
  <c r="L72" i="1"/>
  <c r="K72" i="1"/>
  <c r="J72" i="1"/>
  <c r="L71" i="1"/>
  <c r="K71" i="1"/>
  <c r="J71" i="1"/>
  <c r="L70" i="1"/>
  <c r="K70" i="1"/>
  <c r="J70" i="1"/>
  <c r="L69" i="1"/>
  <c r="K69" i="1"/>
  <c r="J69" i="1"/>
  <c r="L68" i="1"/>
  <c r="K68" i="1"/>
  <c r="J68" i="1"/>
  <c r="L67" i="1"/>
  <c r="K67" i="1"/>
  <c r="J67" i="1"/>
  <c r="L66" i="1"/>
  <c r="K66" i="1"/>
  <c r="J66" i="1"/>
  <c r="L65" i="1"/>
  <c r="K65" i="1"/>
  <c r="J65" i="1"/>
  <c r="L64" i="1"/>
  <c r="K64" i="1"/>
  <c r="J64" i="1"/>
  <c r="L63" i="1"/>
  <c r="K63" i="1"/>
  <c r="J63" i="1"/>
  <c r="L62" i="1"/>
  <c r="K62" i="1"/>
  <c r="J62" i="1"/>
  <c r="L61" i="1"/>
  <c r="K61" i="1"/>
  <c r="J61" i="1"/>
  <c r="L60" i="1"/>
  <c r="K60" i="1"/>
  <c r="J60" i="1"/>
  <c r="L59" i="1"/>
  <c r="K59" i="1"/>
  <c r="J59" i="1"/>
  <c r="L58" i="1"/>
  <c r="K58" i="1"/>
  <c r="J58" i="1"/>
  <c r="L57" i="1"/>
  <c r="K57" i="1"/>
  <c r="J57" i="1"/>
  <c r="L56" i="1"/>
  <c r="K56" i="1"/>
  <c r="J56" i="1"/>
  <c r="L55" i="1"/>
  <c r="K55" i="1"/>
  <c r="J55" i="1"/>
  <c r="L54" i="1"/>
  <c r="K54" i="1"/>
  <c r="J54" i="1"/>
  <c r="L53" i="1"/>
  <c r="K53" i="1"/>
  <c r="J53" i="1"/>
  <c r="L52" i="1"/>
  <c r="K52" i="1"/>
  <c r="J52" i="1"/>
  <c r="L51" i="1"/>
  <c r="K51" i="1"/>
  <c r="J51" i="1"/>
  <c r="L50" i="1"/>
  <c r="K50" i="1"/>
  <c r="J50" i="1"/>
  <c r="L49" i="1"/>
  <c r="K49" i="1"/>
  <c r="J49" i="1"/>
  <c r="L48" i="1"/>
  <c r="K48" i="1"/>
  <c r="J48" i="1"/>
  <c r="L47" i="1"/>
  <c r="K47" i="1"/>
  <c r="J47" i="1"/>
  <c r="L46" i="1"/>
  <c r="K46" i="1"/>
  <c r="J46" i="1"/>
  <c r="L45" i="1"/>
  <c r="K45" i="1"/>
  <c r="J45" i="1"/>
  <c r="L44" i="1"/>
  <c r="K44" i="1"/>
  <c r="J44" i="1"/>
  <c r="L43" i="1"/>
  <c r="K43" i="1"/>
  <c r="J43" i="1"/>
  <c r="L42" i="1"/>
  <c r="K42" i="1"/>
  <c r="J42" i="1"/>
  <c r="L41" i="1"/>
  <c r="K41" i="1"/>
  <c r="J41" i="1"/>
  <c r="L40" i="1"/>
  <c r="K40" i="1"/>
  <c r="J40" i="1"/>
  <c r="L39" i="1"/>
  <c r="K39" i="1"/>
  <c r="J39" i="1"/>
  <c r="L38" i="1"/>
  <c r="K38" i="1"/>
  <c r="J38" i="1"/>
  <c r="L37" i="1"/>
  <c r="K37" i="1"/>
  <c r="J37" i="1"/>
  <c r="L36" i="1"/>
  <c r="K36" i="1"/>
  <c r="J36" i="1"/>
  <c r="L35" i="1"/>
  <c r="K35" i="1"/>
  <c r="J35" i="1"/>
  <c r="L34" i="1"/>
  <c r="K34" i="1"/>
  <c r="J34" i="1"/>
  <c r="L33" i="1"/>
  <c r="K33" i="1"/>
  <c r="J33" i="1"/>
  <c r="L32" i="1"/>
  <c r="K32" i="1"/>
  <c r="J32" i="1"/>
  <c r="L31" i="1"/>
  <c r="K31" i="1"/>
  <c r="J31" i="1"/>
  <c r="L30" i="1"/>
  <c r="K30" i="1"/>
  <c r="J30" i="1"/>
  <c r="L29" i="1"/>
  <c r="K29" i="1"/>
  <c r="J29" i="1"/>
  <c r="L28" i="1"/>
  <c r="K28" i="1"/>
  <c r="J28" i="1"/>
  <c r="L27" i="1"/>
  <c r="K27" i="1"/>
  <c r="J27" i="1"/>
  <c r="L26" i="1"/>
  <c r="K26" i="1"/>
  <c r="J26" i="1"/>
  <c r="L25" i="1"/>
  <c r="K25" i="1"/>
  <c r="J25" i="1"/>
  <c r="L24" i="1"/>
  <c r="K24" i="1"/>
  <c r="J24" i="1"/>
  <c r="L23" i="1"/>
  <c r="K23" i="1"/>
  <c r="J23" i="1"/>
  <c r="L22" i="1"/>
  <c r="K22" i="1"/>
  <c r="J22" i="1"/>
  <c r="L21" i="1"/>
  <c r="K21" i="1"/>
  <c r="J21" i="1"/>
  <c r="L20" i="1"/>
  <c r="K20" i="1"/>
  <c r="J20" i="1"/>
  <c r="L19" i="1"/>
  <c r="K19" i="1"/>
  <c r="J19" i="1"/>
  <c r="L18" i="1"/>
  <c r="K18" i="1"/>
  <c r="J18" i="1"/>
  <c r="L17" i="1"/>
  <c r="K17" i="1"/>
  <c r="J17" i="1"/>
  <c r="L16" i="1"/>
  <c r="K16" i="1"/>
  <c r="J16" i="1"/>
  <c r="L15" i="1"/>
  <c r="K15" i="1"/>
  <c r="J15" i="1"/>
  <c r="L14" i="1"/>
  <c r="K14" i="1"/>
  <c r="J14" i="1"/>
  <c r="L13" i="1"/>
  <c r="K13" i="1"/>
  <c r="J13" i="1"/>
  <c r="L12" i="1"/>
  <c r="K12" i="1"/>
  <c r="J12" i="1"/>
  <c r="L11" i="1"/>
  <c r="K11" i="1"/>
  <c r="J11" i="1"/>
  <c r="L10" i="1"/>
  <c r="K10" i="1"/>
  <c r="J10" i="1"/>
  <c r="L9" i="1"/>
  <c r="K9" i="1"/>
  <c r="J9" i="1"/>
  <c r="L8" i="1"/>
  <c r="K8" i="1"/>
  <c r="J8" i="1"/>
  <c r="L7" i="1"/>
  <c r="K7" i="1"/>
  <c r="J7" i="1"/>
  <c r="L6" i="1"/>
  <c r="K6" i="1"/>
  <c r="J6" i="1"/>
  <c r="L5" i="1"/>
  <c r="K5" i="1"/>
  <c r="J5" i="1"/>
  <c r="L4" i="1"/>
  <c r="K4" i="1"/>
  <c r="J4" i="1"/>
  <c r="L3" i="1"/>
  <c r="K3" i="1"/>
  <c r="J3" i="1"/>
  <c r="L2" i="1"/>
  <c r="K2" i="1"/>
  <c r="J2" i="1"/>
</calcChain>
</file>

<file path=xl/sharedStrings.xml><?xml version="1.0" encoding="utf-8"?>
<sst xmlns="http://schemas.openxmlformats.org/spreadsheetml/2006/main" count="757" uniqueCount="36">
  <si>
    <t>Date</t>
  </si>
  <si>
    <t>Region</t>
  </si>
  <si>
    <t>Salesperson</t>
  </si>
  <si>
    <t>Product</t>
  </si>
  <si>
    <t>Quantity</t>
  </si>
  <si>
    <t>Unit Price</t>
  </si>
  <si>
    <t>Revenue</t>
  </si>
  <si>
    <t>High Sale</t>
  </si>
  <si>
    <t>VLOOKUP</t>
  </si>
  <si>
    <t>HIGH sales</t>
  </si>
  <si>
    <t xml:space="preserve">nested </t>
  </si>
  <si>
    <t>East</t>
  </si>
  <si>
    <t>Priya</t>
  </si>
  <si>
    <t>Webcam</t>
  </si>
  <si>
    <t>Yes</t>
  </si>
  <si>
    <t>West</t>
  </si>
  <si>
    <t>Monitor</t>
  </si>
  <si>
    <t>North</t>
  </si>
  <si>
    <t>Sneha</t>
  </si>
  <si>
    <t>Laptop</t>
  </si>
  <si>
    <t>No</t>
  </si>
  <si>
    <t>Printer</t>
  </si>
  <si>
    <t>Nisha</t>
  </si>
  <si>
    <t>Keyboard</t>
  </si>
  <si>
    <t>South</t>
  </si>
  <si>
    <t>Amit</t>
  </si>
  <si>
    <t>Vikram</t>
  </si>
  <si>
    <t>Headphones</t>
  </si>
  <si>
    <t>Mouse</t>
  </si>
  <si>
    <t>Rahul</t>
  </si>
  <si>
    <t>Sum of Revenue</t>
  </si>
  <si>
    <t>Average of Unit Price</t>
  </si>
  <si>
    <t>Row Labels</t>
  </si>
  <si>
    <t>Grand Total</t>
  </si>
  <si>
    <t>Sum of Quantity</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</si>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</sst>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color theme="1"/>
      <name val="Calibri"/>
      <charset val="134"/>
      <scheme val="minor"/>
    </font>
    <font>
      <sz val="11"/>
      <color indexed="8"/>
      <name val="Calibri"/>
      <charset val="134"/>
    </font>
    <font>
      <b/>
      <sz val="11"/>
      <color indexed="8"/>
      <name val="Calibri"/>
      <charset val="134"/>
    </font>
    <font>
      <b/>
      <sz val="11"/>
      <name val="Calibr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164" fontId="0" fillId="0" borderId="0" xfId="0" applyNumberFormat="1"/>
    <xf numFmtId="164" fontId="1" fillId="0" borderId="0" xfId="0" applyNumberFormat="1" applyFon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1" fillId="0" borderId="0" xfId="0" applyNumberFormat="1" applyFont="1" applyFill="1" applyBorder="1" applyAlignment="1" applyProtection="1"/>
    <xf numFmtId="0" fontId="3" fillId="0" borderId="1" xfId="0" applyNumberFormat="1" applyFont="1" applyFill="1" applyBorder="1" applyAlignment="1" applyProtection="1">
      <alignment horizontal="center" vertical="top"/>
    </xf>
    <xf numFmtId="164" fontId="3" fillId="0" borderId="1" xfId="0" applyNumberFormat="1" applyFont="1" applyFill="1" applyBorder="1" applyAlignment="1" applyProtection="1">
      <alignment horizontal="center" vertical="top"/>
    </xf>
    <xf numFmtId="164" fontId="1" fillId="0" borderId="0" xfId="0" applyNumberFormat="1" applyFont="1" applyFill="1" applyBorder="1" applyAlignment="1" applyProtection="1"/>
  </cellXfs>
  <cellStyles count="1">
    <cellStyle name="Normal" xfId="0" builtinId="0"/>
  </cellStyles>
  <dxfs count="12">
    <dxf>
      <font>
        <b val="0"/>
        <i val="0"/>
        <strike val="0"/>
        <u val="none"/>
        <sz val="11"/>
        <color indexed="8"/>
        <name val="Calibri"/>
        <charset val="134"/>
        <scheme val="none"/>
      </font>
      <numFmt numFmtId="0" formatCode="General"/>
      <fill>
        <patternFill patternType="none"/>
      </fill>
      <border>
        <left/>
        <right/>
        <top/>
        <bottom/>
      </border>
    </dxf>
    <dxf>
      <font>
        <b val="0"/>
        <i val="0"/>
        <strike val="0"/>
        <u val="none"/>
        <sz val="11"/>
        <color indexed="8"/>
        <name val="Calibri"/>
        <charset val="134"/>
        <scheme val="none"/>
      </font>
      <numFmt numFmtId="0" formatCode="General"/>
      <fill>
        <patternFill patternType="none"/>
      </fill>
      <border>
        <left/>
        <right/>
        <top/>
        <bottom/>
      </border>
    </dxf>
    <dxf>
      <font>
        <b val="0"/>
        <i val="0"/>
        <strike val="0"/>
        <u val="none"/>
        <sz val="11"/>
        <color indexed="8"/>
        <name val="Calibri"/>
        <charset val="134"/>
        <scheme val="none"/>
      </font>
      <numFmt numFmtId="0" formatCode="General"/>
      <fill>
        <patternFill patternType="none"/>
      </fill>
      <border>
        <left/>
        <right/>
        <top/>
        <bottom/>
      </border>
    </dxf>
    <dxf>
      <font>
        <b val="0"/>
        <i val="0"/>
        <strike val="0"/>
        <u val="none"/>
        <sz val="11"/>
        <color indexed="8"/>
        <name val="Calibri"/>
        <charset val="134"/>
        <scheme val="none"/>
      </font>
      <numFmt numFmtId="0" formatCode="General"/>
      <fill>
        <patternFill patternType="none"/>
      </fill>
      <border>
        <left/>
        <right/>
        <top/>
        <bottom/>
      </border>
    </dxf>
    <dxf>
      <font>
        <b val="0"/>
        <i val="0"/>
        <strike val="0"/>
        <u val="none"/>
        <sz val="11"/>
        <color indexed="8"/>
        <name val="Calibri"/>
        <charset val="134"/>
        <scheme val="none"/>
      </font>
      <numFmt numFmtId="0" formatCode="General"/>
      <fill>
        <patternFill patternType="none"/>
      </fill>
      <border>
        <left/>
        <right/>
        <top/>
        <bottom/>
      </border>
    </dxf>
    <dxf>
      <font>
        <b val="0"/>
        <i val="0"/>
        <strike val="0"/>
        <u val="none"/>
        <sz val="11"/>
        <color indexed="8"/>
        <name val="Calibri"/>
        <charset val="134"/>
        <scheme val="none"/>
      </font>
      <numFmt numFmtId="0" formatCode="General"/>
      <fill>
        <patternFill patternType="none"/>
      </fill>
      <border>
        <left/>
        <right/>
        <top/>
        <bottom/>
      </border>
    </dxf>
    <dxf>
      <font>
        <b val="0"/>
        <i val="0"/>
        <strike val="0"/>
        <u val="none"/>
        <sz val="11"/>
        <color indexed="8"/>
        <name val="Calibri"/>
        <charset val="134"/>
        <scheme val="none"/>
      </font>
      <numFmt numFmtId="0" formatCode="General"/>
      <fill>
        <patternFill patternType="none"/>
      </fill>
      <border>
        <left/>
        <right/>
        <top/>
        <bottom/>
      </border>
    </dxf>
    <dxf>
      <font>
        <b val="0"/>
        <i val="0"/>
        <strike val="0"/>
        <u val="none"/>
        <sz val="11"/>
        <color indexed="8"/>
        <name val="Calibri"/>
        <charset val="134"/>
        <scheme val="none"/>
      </font>
      <numFmt numFmtId="0" formatCode="General"/>
      <fill>
        <patternFill patternType="none"/>
      </fill>
      <border>
        <left/>
        <right/>
        <top/>
        <bottom/>
      </border>
    </dxf>
    <dxf>
      <font>
        <b val="0"/>
        <i val="0"/>
        <strike val="0"/>
        <u val="none"/>
        <sz val="11"/>
        <color indexed="8"/>
        <name val="Calibri"/>
        <charset val="134"/>
        <scheme val="none"/>
      </font>
      <numFmt numFmtId="0" formatCode="General"/>
      <fill>
        <patternFill patternType="none"/>
      </fill>
      <border>
        <left/>
        <right/>
        <top/>
        <bottom/>
      </border>
    </dxf>
    <dxf>
      <font>
        <b val="0"/>
        <i val="0"/>
        <strike val="0"/>
        <u val="none"/>
        <sz val="11"/>
        <color indexed="8"/>
        <name val="Calibri"/>
        <charset val="134"/>
        <scheme val="none"/>
      </font>
      <numFmt numFmtId="0" formatCode="General"/>
      <fill>
        <patternFill patternType="none"/>
      </fill>
      <border>
        <left/>
        <right/>
        <top/>
        <bottom/>
      </border>
    </dxf>
    <dxf>
      <font>
        <b val="0"/>
        <i val="0"/>
        <strike val="0"/>
        <condense val="0"/>
        <extend val="0"/>
        <outline val="0"/>
        <shadow val="0"/>
        <u val="none"/>
        <vertAlign val="baseline"/>
        <sz val="11"/>
        <color indexed="8"/>
        <name val="Calibri"/>
        <charset val="134"/>
        <scheme val="none"/>
      </font>
      <numFmt numFmtId="164" formatCode="yyyy/mm/dd;@"/>
    </dxf>
    <dxf>
      <font>
        <b val="0"/>
        <i val="0"/>
        <strike val="0"/>
        <u val="none"/>
        <sz val="11"/>
        <color indexed="8"/>
        <name val="Calibri"/>
        <charset val="134"/>
        <scheme val="none"/>
      </font>
      <numFmt numFmtId="164" formatCode="yyyy/mm/dd;@"/>
      <fill>
        <patternFill patternType="none"/>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[Sanika1.xlsx]Analyze!PivotTable2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Analyze!$B$7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C9-4D85-B688-38EB2BD6BF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C9-4D85-B688-38EB2BD6BF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C9-4D85-B688-38EB2BD6BF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C9-4D85-B688-38EB2BD6BF6B}"/>
              </c:ext>
            </c:extLst>
          </c:dPt>
          <c:cat>
            <c:strRef>
              <c:f>Analyze!$A$8:$A$12</c:f>
              <c:strCache>
                <c:ptCount val="4"/>
                <c:pt idx="0">
                  <c:v>East</c:v>
                </c:pt>
                <c:pt idx="1">
                  <c:v>North</c:v>
                </c:pt>
                <c:pt idx="2">
                  <c:v>South</c:v>
                </c:pt>
                <c:pt idx="3">
                  <c:v>West</c:v>
                </c:pt>
              </c:strCache>
            </c:strRef>
          </c:cat>
          <c:val>
            <c:numRef>
              <c:f>Analyze!$B$8:$B$12</c:f>
              <c:numCache>
                <c:formatCode>General</c:formatCode>
                <c:ptCount val="4"/>
                <c:pt idx="0">
                  <c:v>3662587</c:v>
                </c:pt>
                <c:pt idx="1">
                  <c:v>4139391</c:v>
                </c:pt>
                <c:pt idx="2">
                  <c:v>6409902.652631578</c:v>
                </c:pt>
                <c:pt idx="3">
                  <c:v>5774407.768421052</c:v>
                </c:pt>
              </c:numCache>
            </c:numRef>
          </c:val>
          <c:extLst>
            <c:ext xmlns:c16="http://schemas.microsoft.com/office/drawing/2014/chart" uri="{C3380CC4-5D6E-409C-BE32-E72D297353CC}">
              <c16:uniqueId val="{00000000-56F1-4A04-AE9E-C046D0DC31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[Sanika1.xlsx]Analyze!PivotTable3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Analyze!$B$18</c:f>
              <c:strCache>
                <c:ptCount val="1"/>
                <c:pt idx="0">
                  <c:v>Total</c:v>
                </c:pt>
              </c:strCache>
            </c:strRef>
          </c:tx>
          <c:spPr>
            <a:solidFill>
              <a:schemeClr val="accent1"/>
            </a:solidFill>
            <a:ln>
              <a:noFill/>
            </a:ln>
            <a:effectLst/>
          </c:spPr>
          <c:invertIfNegative val="0"/>
          <c:cat>
            <c:strRef>
              <c:f>Analyze!$A$19:$A$26</c:f>
              <c:strCache>
                <c:ptCount val="7"/>
                <c:pt idx="0">
                  <c:v>Headphones</c:v>
                </c:pt>
                <c:pt idx="1">
                  <c:v>Keyboard</c:v>
                </c:pt>
                <c:pt idx="2">
                  <c:v>Laptop</c:v>
                </c:pt>
                <c:pt idx="3">
                  <c:v>Monitor</c:v>
                </c:pt>
                <c:pt idx="4">
                  <c:v>Mouse</c:v>
                </c:pt>
                <c:pt idx="5">
                  <c:v>Printer</c:v>
                </c:pt>
                <c:pt idx="6">
                  <c:v>Webcam</c:v>
                </c:pt>
              </c:strCache>
            </c:strRef>
          </c:cat>
          <c:val>
            <c:numRef>
              <c:f>Analyze!$B$19:$B$26</c:f>
              <c:numCache>
                <c:formatCode>General</c:formatCode>
                <c:ptCount val="7"/>
                <c:pt idx="0">
                  <c:v>1664014</c:v>
                </c:pt>
                <c:pt idx="1">
                  <c:v>2350555.884210526</c:v>
                </c:pt>
                <c:pt idx="2">
                  <c:v>4310207.652631578</c:v>
                </c:pt>
                <c:pt idx="3">
                  <c:v>2643121.884210526</c:v>
                </c:pt>
                <c:pt idx="4">
                  <c:v>2996802</c:v>
                </c:pt>
                <c:pt idx="5">
                  <c:v>3396068</c:v>
                </c:pt>
                <c:pt idx="6">
                  <c:v>2625519</c:v>
                </c:pt>
              </c:numCache>
            </c:numRef>
          </c:val>
          <c:extLst>
            <c:ext xmlns:c16="http://schemas.microsoft.com/office/drawing/2014/chart" uri="{C3380CC4-5D6E-409C-BE32-E72D297353CC}">
              <c16:uniqueId val="{00000000-A5E9-4F79-8774-E570F4D36249}"/>
            </c:ext>
          </c:extLst>
        </c:ser>
        <c:dLbls>
          <c:showLegendKey val="0"/>
          <c:showVal val="0"/>
          <c:showCatName val="0"/>
          <c:showSerName val="0"/>
          <c:showPercent val="0"/>
          <c:showBubbleSize val="0"/>
        </c:dLbls>
        <c:gapWidth val="219"/>
        <c:axId val="1840963071"/>
        <c:axId val="1840964031"/>
      </c:barChart>
      <c:catAx>
        <c:axId val="184096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64031"/>
        <c:crosses val="autoZero"/>
        <c:auto val="1"/>
        <c:lblAlgn val="ctr"/>
        <c:lblOffset val="100"/>
        <c:noMultiLvlLbl val="0"/>
      </c:catAx>
      <c:valAx>
        <c:axId val="184096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6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[Sanika1.xlsx]Analyze!PivotTable4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Analyze!$B$28</c:f>
              <c:strCache>
                <c:ptCount val="1"/>
                <c:pt idx="0">
                  <c:v>Sum of Revenue</c:v>
                </c:pt>
              </c:strCache>
            </c:strRef>
          </c:tx>
          <c:spPr>
            <a:solidFill>
              <a:schemeClr val="accent1"/>
            </a:solidFill>
            <a:ln>
              <a:noFill/>
            </a:ln>
            <a:effectLst/>
          </c:spPr>
          <c:invertIfNegative val="0"/>
          <c:cat>
            <c:strRef>
              <c:f>Analyze!$A$29:$A$35</c:f>
              <c:strCache>
                <c:ptCount val="6"/>
                <c:pt idx="0">
                  <c:v>Amit</c:v>
                </c:pt>
                <c:pt idx="1">
                  <c:v>Nisha</c:v>
                </c:pt>
                <c:pt idx="2">
                  <c:v>Priya</c:v>
                </c:pt>
                <c:pt idx="3">
                  <c:v>Rahul</c:v>
                </c:pt>
                <c:pt idx="4">
                  <c:v>Sneha</c:v>
                </c:pt>
                <c:pt idx="5">
                  <c:v>Vikram</c:v>
                </c:pt>
              </c:strCache>
            </c:strRef>
          </c:cat>
          <c:val>
            <c:numRef>
              <c:f>Analyze!$B$29:$B$35</c:f>
              <c:numCache>
                <c:formatCode>General</c:formatCode>
                <c:ptCount val="6"/>
                <c:pt idx="0">
                  <c:v>2518354.652631578</c:v>
                </c:pt>
                <c:pt idx="1">
                  <c:v>3155376.884210526</c:v>
                </c:pt>
                <c:pt idx="2">
                  <c:v>2044706</c:v>
                </c:pt>
                <c:pt idx="3">
                  <c:v>4517820</c:v>
                </c:pt>
                <c:pt idx="4">
                  <c:v>3743153</c:v>
                </c:pt>
                <c:pt idx="5">
                  <c:v>4006877.884210526</c:v>
                </c:pt>
              </c:numCache>
            </c:numRef>
          </c:val>
          <c:extLst>
            <c:ext xmlns:c16="http://schemas.microsoft.com/office/drawing/2014/chart" uri="{C3380CC4-5D6E-409C-BE32-E72D297353CC}">
              <c16:uniqueId val="{00000000-139F-442E-B14F-6AEF61DFE599}"/>
            </c:ext>
          </c:extLst>
        </c:ser>
        <c:dLbls>
          <c:showLegendKey val="0"/>
          <c:showVal val="0"/>
          <c:showCatName val="0"/>
          <c:showSerName val="0"/>
          <c:showPercent val="0"/>
          <c:showBubbleSize val="0"/>
        </c:dLbls>
        <c:gapWidth val="219"/>
        <c:overlap val="-27"/>
        <c:axId val="1334482703"/>
        <c:axId val="1334483183"/>
      </c:barChart>
      <c:lineChart>
        <c:grouping val="standard"/>
        <c:varyColors val="0"/>
        <c:ser>
          <c:idx val="1"/>
          <c:order val="1"/>
          <c:tx>
            <c:strRef>
              <c:f>Analyze!$C$28</c:f>
              <c:strCache>
                <c:ptCount val="1"/>
                <c:pt idx="0">
                  <c:v>Sum of Quantity</c:v>
                </c:pt>
              </c:strCache>
            </c:strRef>
          </c:tx>
          <c:spPr>
            <a:ln w="28575" cap="rnd">
              <a:solidFill>
                <a:schemeClr val="accent2"/>
              </a:solidFill>
              <a:round/>
            </a:ln>
            <a:effectLst/>
          </c:spPr>
          <c:marker>
            <c:symbol val="none"/>
          </c:marker>
          <c:cat>
            <c:strRef>
              <c:f>Analyze!$A$29:$A$35</c:f>
              <c:strCache>
                <c:ptCount val="6"/>
                <c:pt idx="0">
                  <c:v>Amit</c:v>
                </c:pt>
                <c:pt idx="1">
                  <c:v>Nisha</c:v>
                </c:pt>
                <c:pt idx="2">
                  <c:v>Priya</c:v>
                </c:pt>
                <c:pt idx="3">
                  <c:v>Rahul</c:v>
                </c:pt>
                <c:pt idx="4">
                  <c:v>Sneha</c:v>
                </c:pt>
                <c:pt idx="5">
                  <c:v>Vikram</c:v>
                </c:pt>
              </c:strCache>
            </c:strRef>
          </c:cat>
          <c:val>
            <c:numRef>
              <c:f>Analyze!$C$29:$C$35</c:f>
              <c:numCache>
                <c:formatCode>General</c:formatCode>
                <c:ptCount val="6"/>
                <c:pt idx="0">
                  <c:v>147</c:v>
                </c:pt>
                <c:pt idx="1">
                  <c:v>141</c:v>
                </c:pt>
                <c:pt idx="2">
                  <c:v>127</c:v>
                </c:pt>
                <c:pt idx="3">
                  <c:v>172</c:v>
                </c:pt>
                <c:pt idx="4">
                  <c:v>181</c:v>
                </c:pt>
                <c:pt idx="5">
                  <c:v>162</c:v>
                </c:pt>
              </c:numCache>
            </c:numRef>
          </c:val>
          <c:smooth val="0"/>
          <c:extLst>
            <c:ext xmlns:c16="http://schemas.microsoft.com/office/drawing/2014/chart" uri="{C3380CC4-5D6E-409C-BE32-E72D297353CC}">
              <c16:uniqueId val="{00000001-139F-442E-B14F-6AEF61DFE599}"/>
            </c:ext>
          </c:extLst>
        </c:ser>
        <c:dLbls>
          <c:showLegendKey val="0"/>
          <c:showVal val="0"/>
          <c:showCatName val="0"/>
          <c:showSerName val="0"/>
          <c:showPercent val="0"/>
          <c:showBubbleSize val="0"/>
        </c:dLbls>
        <c:marker val="1"/>
        <c:smooth val="0"/>
        <c:axId val="110108895"/>
        <c:axId val="110093055"/>
      </c:lineChart>
      <c:catAx>
        <c:axId val="133448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483183"/>
        <c:crosses val="autoZero"/>
        <c:auto val="1"/>
        <c:lblAlgn val="ctr"/>
        <c:lblOffset val="100"/>
        <c:noMultiLvlLbl val="0"/>
      </c:catAx>
      <c:valAx>
        <c:axId val="133448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482703"/>
        <c:crosses val="autoZero"/>
        <c:crossBetween val="between"/>
      </c:valAx>
      <c:valAx>
        <c:axId val="1100930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8895"/>
        <c:crosses val="max"/>
        <c:crossBetween val="between"/>
      </c:valAx>
      <c:catAx>
        <c:axId val="110108895"/>
        <c:scaling>
          <c:orientation val="minMax"/>
        </c:scaling>
        <c:delete val="1"/>
        <c:axPos val="b"/>
        <c:numFmt formatCode="General" sourceLinked="1"/>
        <c:majorTickMark val="out"/>
        <c:minorTickMark val="none"/>
        <c:tickLblPos val="nextTo"/>
        <c:crossAx val="1100930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[Sanika1.xlsx]Analyze!PivotTable2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2836164807662666"/>
          <c:y val="0.24830901137357828"/>
          <c:w val="0.44255871691577209"/>
          <c:h val="0.69835765529308835"/>
        </c:manualLayout>
      </c:layout>
      <c:doughnutChart>
        <c:varyColors val="1"/>
        <c:ser>
          <c:idx val="0"/>
          <c:order val="0"/>
          <c:tx>
            <c:strRef>
              <c:f>Analyze!$B$7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9F-44AF-963C-953BE4F5DC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9F-44AF-963C-953BE4F5DC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9F-44AF-963C-953BE4F5DC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9F-44AF-963C-953BE4F5DC87}"/>
              </c:ext>
            </c:extLst>
          </c:dPt>
          <c:cat>
            <c:strRef>
              <c:f>Analyze!$A$8:$A$12</c:f>
              <c:strCache>
                <c:ptCount val="4"/>
                <c:pt idx="0">
                  <c:v>East</c:v>
                </c:pt>
                <c:pt idx="1">
                  <c:v>North</c:v>
                </c:pt>
                <c:pt idx="2">
                  <c:v>South</c:v>
                </c:pt>
                <c:pt idx="3">
                  <c:v>West</c:v>
                </c:pt>
              </c:strCache>
            </c:strRef>
          </c:cat>
          <c:val>
            <c:numRef>
              <c:f>Analyze!$B$8:$B$12</c:f>
              <c:numCache>
                <c:formatCode>General</c:formatCode>
                <c:ptCount val="4"/>
                <c:pt idx="0">
                  <c:v>3662587</c:v>
                </c:pt>
                <c:pt idx="1">
                  <c:v>4139391</c:v>
                </c:pt>
                <c:pt idx="2">
                  <c:v>6409902.652631578</c:v>
                </c:pt>
                <c:pt idx="3">
                  <c:v>5774407.768421052</c:v>
                </c:pt>
              </c:numCache>
            </c:numRef>
          </c:val>
          <c:extLst>
            <c:ext xmlns:c16="http://schemas.microsoft.com/office/drawing/2014/chart" uri="{C3380CC4-5D6E-409C-BE32-E72D297353CC}">
              <c16:uniqueId val="{00000008-F69F-44AF-963C-953BE4F5DC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[Sanika1.xlsx]Analyze!PivotTable3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Analyze!$B$18</c:f>
              <c:strCache>
                <c:ptCount val="1"/>
                <c:pt idx="0">
                  <c:v>Total</c:v>
                </c:pt>
              </c:strCache>
            </c:strRef>
          </c:tx>
          <c:spPr>
            <a:solidFill>
              <a:schemeClr val="accent1"/>
            </a:solidFill>
            <a:ln>
              <a:noFill/>
            </a:ln>
            <a:effectLst/>
          </c:spPr>
          <c:invertIfNegative val="0"/>
          <c:cat>
            <c:strRef>
              <c:f>Analyze!$A$19:$A$26</c:f>
              <c:strCache>
                <c:ptCount val="7"/>
                <c:pt idx="0">
                  <c:v>Headphones</c:v>
                </c:pt>
                <c:pt idx="1">
                  <c:v>Keyboard</c:v>
                </c:pt>
                <c:pt idx="2">
                  <c:v>Laptop</c:v>
                </c:pt>
                <c:pt idx="3">
                  <c:v>Monitor</c:v>
                </c:pt>
                <c:pt idx="4">
                  <c:v>Mouse</c:v>
                </c:pt>
                <c:pt idx="5">
                  <c:v>Printer</c:v>
                </c:pt>
                <c:pt idx="6">
                  <c:v>Webcam</c:v>
                </c:pt>
              </c:strCache>
            </c:strRef>
          </c:cat>
          <c:val>
            <c:numRef>
              <c:f>Analyze!$B$19:$B$26</c:f>
              <c:numCache>
                <c:formatCode>General</c:formatCode>
                <c:ptCount val="7"/>
                <c:pt idx="0">
                  <c:v>1664014</c:v>
                </c:pt>
                <c:pt idx="1">
                  <c:v>2350555.884210526</c:v>
                </c:pt>
                <c:pt idx="2">
                  <c:v>4310207.652631578</c:v>
                </c:pt>
                <c:pt idx="3">
                  <c:v>2643121.884210526</c:v>
                </c:pt>
                <c:pt idx="4">
                  <c:v>2996802</c:v>
                </c:pt>
                <c:pt idx="5">
                  <c:v>3396068</c:v>
                </c:pt>
                <c:pt idx="6">
                  <c:v>2625519</c:v>
                </c:pt>
              </c:numCache>
            </c:numRef>
          </c:val>
          <c:extLst>
            <c:ext xmlns:c16="http://schemas.microsoft.com/office/drawing/2014/chart" uri="{C3380CC4-5D6E-409C-BE32-E72D297353CC}">
              <c16:uniqueId val="{00000000-306F-469A-8839-875CCD93F740}"/>
            </c:ext>
          </c:extLst>
        </c:ser>
        <c:dLbls>
          <c:showLegendKey val="0"/>
          <c:showVal val="0"/>
          <c:showCatName val="0"/>
          <c:showSerName val="0"/>
          <c:showPercent val="0"/>
          <c:showBubbleSize val="0"/>
        </c:dLbls>
        <c:gapWidth val="219"/>
        <c:axId val="1840963071"/>
        <c:axId val="1840964031"/>
      </c:barChart>
      <c:catAx>
        <c:axId val="184096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64031"/>
        <c:crosses val="autoZero"/>
        <c:auto val="1"/>
        <c:lblAlgn val="ctr"/>
        <c:lblOffset val="100"/>
        <c:noMultiLvlLbl val="0"/>
      </c:catAx>
      <c:valAx>
        <c:axId val="184096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6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[Sanika1.xlsx]Analyze!PivotTable4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Analyze!$B$28</c:f>
              <c:strCache>
                <c:ptCount val="1"/>
                <c:pt idx="0">
                  <c:v>Sum of Revenue</c:v>
                </c:pt>
              </c:strCache>
            </c:strRef>
          </c:tx>
          <c:spPr>
            <a:solidFill>
              <a:schemeClr val="accent1"/>
            </a:solidFill>
            <a:ln>
              <a:noFill/>
            </a:ln>
            <a:effectLst/>
          </c:spPr>
          <c:invertIfNegative val="0"/>
          <c:cat>
            <c:strRef>
              <c:f>Analyze!$A$29:$A$35</c:f>
              <c:strCache>
                <c:ptCount val="6"/>
                <c:pt idx="0">
                  <c:v>Amit</c:v>
                </c:pt>
                <c:pt idx="1">
                  <c:v>Nisha</c:v>
                </c:pt>
                <c:pt idx="2">
                  <c:v>Priya</c:v>
                </c:pt>
                <c:pt idx="3">
                  <c:v>Rahul</c:v>
                </c:pt>
                <c:pt idx="4">
                  <c:v>Sneha</c:v>
                </c:pt>
                <c:pt idx="5">
                  <c:v>Vikram</c:v>
                </c:pt>
              </c:strCache>
            </c:strRef>
          </c:cat>
          <c:val>
            <c:numRef>
              <c:f>Analyze!$B$29:$B$35</c:f>
              <c:numCache>
                <c:formatCode>General</c:formatCode>
                <c:ptCount val="6"/>
                <c:pt idx="0">
                  <c:v>2518354.652631578</c:v>
                </c:pt>
                <c:pt idx="1">
                  <c:v>3155376.884210526</c:v>
                </c:pt>
                <c:pt idx="2">
                  <c:v>2044706</c:v>
                </c:pt>
                <c:pt idx="3">
                  <c:v>4517820</c:v>
                </c:pt>
                <c:pt idx="4">
                  <c:v>3743153</c:v>
                </c:pt>
                <c:pt idx="5">
                  <c:v>4006877.884210526</c:v>
                </c:pt>
              </c:numCache>
            </c:numRef>
          </c:val>
          <c:extLst>
            <c:ext xmlns:c16="http://schemas.microsoft.com/office/drawing/2014/chart" uri="{C3380CC4-5D6E-409C-BE32-E72D297353CC}">
              <c16:uniqueId val="{00000000-9BDE-4C1B-9ACC-B2CCFC971F11}"/>
            </c:ext>
          </c:extLst>
        </c:ser>
        <c:dLbls>
          <c:showLegendKey val="0"/>
          <c:showVal val="0"/>
          <c:showCatName val="0"/>
          <c:showSerName val="0"/>
          <c:showPercent val="0"/>
          <c:showBubbleSize val="0"/>
        </c:dLbls>
        <c:gapWidth val="219"/>
        <c:overlap val="-27"/>
        <c:axId val="1334482703"/>
        <c:axId val="1334483183"/>
      </c:barChart>
      <c:lineChart>
        <c:grouping val="standard"/>
        <c:varyColors val="0"/>
        <c:ser>
          <c:idx val="1"/>
          <c:order val="1"/>
          <c:tx>
            <c:strRef>
              <c:f>Analyze!$C$28</c:f>
              <c:strCache>
                <c:ptCount val="1"/>
                <c:pt idx="0">
                  <c:v>Sum of Quantity</c:v>
                </c:pt>
              </c:strCache>
            </c:strRef>
          </c:tx>
          <c:spPr>
            <a:ln w="28575" cap="rnd">
              <a:solidFill>
                <a:schemeClr val="accent2"/>
              </a:solidFill>
              <a:round/>
            </a:ln>
            <a:effectLst/>
          </c:spPr>
          <c:marker>
            <c:symbol val="none"/>
          </c:marker>
          <c:cat>
            <c:strRef>
              <c:f>Analyze!$A$29:$A$35</c:f>
              <c:strCache>
                <c:ptCount val="6"/>
                <c:pt idx="0">
                  <c:v>Amit</c:v>
                </c:pt>
                <c:pt idx="1">
                  <c:v>Nisha</c:v>
                </c:pt>
                <c:pt idx="2">
                  <c:v>Priya</c:v>
                </c:pt>
                <c:pt idx="3">
                  <c:v>Rahul</c:v>
                </c:pt>
                <c:pt idx="4">
                  <c:v>Sneha</c:v>
                </c:pt>
                <c:pt idx="5">
                  <c:v>Vikram</c:v>
                </c:pt>
              </c:strCache>
            </c:strRef>
          </c:cat>
          <c:val>
            <c:numRef>
              <c:f>Analyze!$C$29:$C$35</c:f>
              <c:numCache>
                <c:formatCode>General</c:formatCode>
                <c:ptCount val="6"/>
                <c:pt idx="0">
                  <c:v>147</c:v>
                </c:pt>
                <c:pt idx="1">
                  <c:v>141</c:v>
                </c:pt>
                <c:pt idx="2">
                  <c:v>127</c:v>
                </c:pt>
                <c:pt idx="3">
                  <c:v>172</c:v>
                </c:pt>
                <c:pt idx="4">
                  <c:v>181</c:v>
                </c:pt>
                <c:pt idx="5">
                  <c:v>162</c:v>
                </c:pt>
              </c:numCache>
            </c:numRef>
          </c:val>
          <c:smooth val="0"/>
          <c:extLst>
            <c:ext xmlns:c16="http://schemas.microsoft.com/office/drawing/2014/chart" uri="{C3380CC4-5D6E-409C-BE32-E72D297353CC}">
              <c16:uniqueId val="{00000001-9BDE-4C1B-9ACC-B2CCFC971F11}"/>
            </c:ext>
          </c:extLst>
        </c:ser>
        <c:dLbls>
          <c:showLegendKey val="0"/>
          <c:showVal val="0"/>
          <c:showCatName val="0"/>
          <c:showSerName val="0"/>
          <c:showPercent val="0"/>
          <c:showBubbleSize val="0"/>
        </c:dLbls>
        <c:marker val="1"/>
        <c:smooth val="0"/>
        <c:axId val="110108895"/>
        <c:axId val="110093055"/>
      </c:lineChart>
      <c:catAx>
        <c:axId val="133448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483183"/>
        <c:crosses val="autoZero"/>
        <c:auto val="1"/>
        <c:lblAlgn val="ctr"/>
        <c:lblOffset val="100"/>
        <c:noMultiLvlLbl val="0"/>
      </c:catAx>
      <c:valAx>
        <c:axId val="133448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482703"/>
        <c:crosses val="autoZero"/>
        <c:crossBetween val="between"/>
      </c:valAx>
      <c:valAx>
        <c:axId val="1100930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8895"/>
        <c:crosses val="max"/>
        <c:crossBetween val="between"/>
      </c:valAx>
      <c:catAx>
        <c:axId val="110108895"/>
        <c:scaling>
          <c:orientation val="minMax"/>
        </c:scaling>
        <c:delete val="1"/>
        <c:axPos val="b"/>
        <c:numFmt formatCode="General" sourceLinked="1"/>
        <c:majorTickMark val="out"/>
        <c:minorTickMark val="none"/>
        <c:tickLblPos val="nextTo"/>
        <c:crossAx val="1100930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876300</xdr:colOff>
      <xdr:row>0</xdr:row>
      <xdr:rowOff>0</xdr:rowOff>
    </xdr:from>
    <xdr:to>
      <xdr:col>6</xdr:col>
      <xdr:colOff>541020</xdr:colOff>
      <xdr:row>15</xdr:row>
      <xdr:rowOff>0</xdr:rowOff>
    </xdr:to>
    <xdr:graphicFrame macro="">
      <xdr:nvGraphicFramePr>
        <xdr:cNvPr id="2" name="Chart 1">
          <a:extLst>
            <a:ext uri="{FF2B5EF4-FFF2-40B4-BE49-F238E27FC236}">
              <a16:creationId xmlns:a16="http://schemas.microsoft.com/office/drawing/2014/main" id="{6482B9A1-3FB6-2467-960E-B47DBD920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701040</xdr:colOff>
      <xdr:row>15</xdr:row>
      <xdr:rowOff>38100</xdr:rowOff>
    </xdr:from>
    <xdr:to>
      <xdr:col>7</xdr:col>
      <xdr:colOff>91440</xdr:colOff>
      <xdr:row>25</xdr:row>
      <xdr:rowOff>60960</xdr:rowOff>
    </xdr:to>
    <xdr:graphicFrame macro="">
      <xdr:nvGraphicFramePr>
        <xdr:cNvPr id="3" name="Chart 2">
          <a:extLst>
            <a:ext uri="{FF2B5EF4-FFF2-40B4-BE49-F238E27FC236}">
              <a16:creationId xmlns:a16="http://schemas.microsoft.com/office/drawing/2014/main" id="{76228F86-7398-72D7-71DB-5BDFC31ED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259080</xdr:colOff>
      <xdr:row>30</xdr:row>
      <xdr:rowOff>7620</xdr:rowOff>
    </xdr:from>
    <xdr:to>
      <xdr:col>6</xdr:col>
      <xdr:colOff>944880</xdr:colOff>
      <xdr:row>45</xdr:row>
      <xdr:rowOff>7620</xdr:rowOff>
    </xdr:to>
    <xdr:graphicFrame macro="">
      <xdr:nvGraphicFramePr>
        <xdr:cNvPr id="4" name="Chart 3">
          <a:extLst>
            <a:ext uri="{FF2B5EF4-FFF2-40B4-BE49-F238E27FC236}">
              <a16:creationId xmlns:a16="http://schemas.microsoft.com/office/drawing/2014/main" id="{15614197-5A9B-595B-A5E0-A4D36189C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45720</xdr:rowOff>
    </xdr:from>
    <xdr:to>
      <xdr:col>23</xdr:col>
      <xdr:colOff>91440</xdr:colOff>
      <xdr:row>61</xdr:row>
      <xdr:rowOff>0</xdr:rowOff>
    </xdr:to>
    <xdr:sp macro="" textlink="">
      <xdr:nvSpPr>
        <xdr:cNvPr id="3" name="Rectangle: Rounded Corners 2">
          <a:extLst>
            <a:ext uri="{FF2B5EF4-FFF2-40B4-BE49-F238E27FC236}">
              <a16:creationId xmlns:a16="http://schemas.microsoft.com/office/drawing/2014/main" id="{78C6B30F-DE54-BAD4-121F-6508AAC9EBDA}"/>
            </a:ext>
          </a:extLst>
        </xdr:cNvPr>
        <xdr:cNvSpPr/>
      </xdr:nvSpPr>
      <xdr:spPr>
        <a:xfrm>
          <a:off x="76200" y="45720"/>
          <a:ext cx="14036040" cy="11109960"/>
        </a:xfrm>
        <a:prstGeom prst="round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xdr:colOff>
      <xdr:row>0</xdr:row>
      <xdr:rowOff>76200</xdr:rowOff>
    </xdr:from>
    <xdr:to>
      <xdr:col>21</xdr:col>
      <xdr:colOff>45720</xdr:colOff>
      <xdr:row>4</xdr:row>
      <xdr:rowOff>15240</xdr:rowOff>
    </xdr:to>
    <xdr:sp macro="" textlink="">
      <xdr:nvSpPr>
        <xdr:cNvPr id="7" name="Flowchart: Terminator 6">
          <a:extLst>
            <a:ext uri="{FF2B5EF4-FFF2-40B4-BE49-F238E27FC236}">
              <a16:creationId xmlns:a16="http://schemas.microsoft.com/office/drawing/2014/main" id="{D0149167-3889-4E11-5D64-3DFDCC433227}"/>
            </a:ext>
          </a:extLst>
        </xdr:cNvPr>
        <xdr:cNvSpPr/>
      </xdr:nvSpPr>
      <xdr:spPr>
        <a:xfrm>
          <a:off x="1226820" y="76200"/>
          <a:ext cx="11620500" cy="670560"/>
        </a:xfrm>
        <a:prstGeom prst="flowChartTerminator">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tx1"/>
              </a:solidFill>
              <a:latin typeface="Times New Roman" panose="02020603050405020304" pitchFamily="18" charset="0"/>
              <a:cs typeface="Times New Roman" panose="02020603050405020304" pitchFamily="18" charset="0"/>
            </a:rPr>
            <a:t>Electronic Store</a:t>
          </a:r>
        </a:p>
      </xdr:txBody>
    </xdr:sp>
    <xdr:clientData/>
  </xdr:twoCellAnchor>
  <xdr:twoCellAnchor>
    <xdr:from>
      <xdr:col>6</xdr:col>
      <xdr:colOff>350520</xdr:colOff>
      <xdr:row>6</xdr:row>
      <xdr:rowOff>129540</xdr:rowOff>
    </xdr:from>
    <xdr:to>
      <xdr:col>11</xdr:col>
      <xdr:colOff>7620</xdr:colOff>
      <xdr:row>11</xdr:row>
      <xdr:rowOff>30480</xdr:rowOff>
    </xdr:to>
    <xdr:sp macro="" textlink="">
      <xdr:nvSpPr>
        <xdr:cNvPr id="8" name="Rectangle: Rounded Corners 7">
          <a:extLst>
            <a:ext uri="{FF2B5EF4-FFF2-40B4-BE49-F238E27FC236}">
              <a16:creationId xmlns:a16="http://schemas.microsoft.com/office/drawing/2014/main" id="{9B6B6F94-A70E-00EE-93F6-5F98AC4EEDF2}"/>
            </a:ext>
          </a:extLst>
        </xdr:cNvPr>
        <xdr:cNvSpPr/>
      </xdr:nvSpPr>
      <xdr:spPr>
        <a:xfrm>
          <a:off x="4008120" y="1226820"/>
          <a:ext cx="270510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Times New Roman" panose="02020603050405020304" pitchFamily="18" charset="0"/>
              <a:cs typeface="Times New Roman" panose="02020603050405020304" pitchFamily="18" charset="0"/>
            </a:rPr>
            <a:t>TOTAL</a:t>
          </a:r>
          <a:r>
            <a:rPr lang="en-IN" sz="1400" baseline="0">
              <a:solidFill>
                <a:schemeClr val="tx1"/>
              </a:solidFill>
              <a:latin typeface="Times New Roman" panose="02020603050405020304" pitchFamily="18" charset="0"/>
              <a:cs typeface="Times New Roman" panose="02020603050405020304" pitchFamily="18" charset="0"/>
            </a:rPr>
            <a:t> REVENU </a:t>
          </a:r>
          <a:endParaRPr lang="en-IN" sz="14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495300</xdr:colOff>
      <xdr:row>6</xdr:row>
      <xdr:rowOff>137160</xdr:rowOff>
    </xdr:from>
    <xdr:to>
      <xdr:col>16</xdr:col>
      <xdr:colOff>152400</xdr:colOff>
      <xdr:row>11</xdr:row>
      <xdr:rowOff>38100</xdr:rowOff>
    </xdr:to>
    <xdr:sp macro="" textlink="">
      <xdr:nvSpPr>
        <xdr:cNvPr id="9" name="Rectangle: Rounded Corners 8">
          <a:extLst>
            <a:ext uri="{FF2B5EF4-FFF2-40B4-BE49-F238E27FC236}">
              <a16:creationId xmlns:a16="http://schemas.microsoft.com/office/drawing/2014/main" id="{B6DBB7AE-708A-9D27-BE0C-9C9E5988BA70}"/>
            </a:ext>
          </a:extLst>
        </xdr:cNvPr>
        <xdr:cNvSpPr/>
      </xdr:nvSpPr>
      <xdr:spPr>
        <a:xfrm>
          <a:off x="7200900" y="1234440"/>
          <a:ext cx="270510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AVERAGE</a:t>
          </a:r>
          <a:r>
            <a:rPr lang="en-IN" sz="1400" baseline="0">
              <a:solidFill>
                <a:schemeClr val="tx1"/>
              </a:solidFill>
            </a:rPr>
            <a:t> OF  UNIT PRICE</a:t>
          </a:r>
          <a:endParaRPr lang="en-IN" sz="1100">
            <a:solidFill>
              <a:schemeClr val="tx1"/>
            </a:solidFill>
          </a:endParaRPr>
        </a:p>
      </xdr:txBody>
    </xdr:sp>
    <xdr:clientData/>
  </xdr:twoCellAnchor>
  <xdr:twoCellAnchor>
    <xdr:from>
      <xdr:col>6</xdr:col>
      <xdr:colOff>459105</xdr:colOff>
      <xdr:row>8</xdr:row>
      <xdr:rowOff>80010</xdr:rowOff>
    </xdr:from>
    <xdr:to>
      <xdr:col>10</xdr:col>
      <xdr:colOff>520065</xdr:colOff>
      <xdr:row>10</xdr:row>
      <xdr:rowOff>110490</xdr:rowOff>
    </xdr:to>
    <xdr:sp macro="" textlink="Analyze!A4">
      <xdr:nvSpPr>
        <xdr:cNvPr id="10" name="TextBox 9">
          <a:extLst>
            <a:ext uri="{FF2B5EF4-FFF2-40B4-BE49-F238E27FC236}">
              <a16:creationId xmlns:a16="http://schemas.microsoft.com/office/drawing/2014/main" id="{993164D4-CA2B-5CEA-DC82-31623E506EE1}"/>
            </a:ext>
          </a:extLst>
        </xdr:cNvPr>
        <xdr:cNvSpPr txBox="1"/>
      </xdr:nvSpPr>
      <xdr:spPr>
        <a:xfrm>
          <a:off x="4116705" y="1604010"/>
          <a:ext cx="2499360" cy="411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0659FA-9AF7-47AE-B68D-BE4E80E1E147}" type="TxLink">
            <a:rPr lang="en-US" sz="1400" b="0" i="0" u="none" strike="noStrike">
              <a:solidFill>
                <a:srgbClr val="000000"/>
              </a:solidFill>
              <a:latin typeface="Calibri"/>
              <a:ea typeface="Calibri"/>
              <a:cs typeface="Calibri"/>
            </a:rPr>
            <a:pPr algn="ctr"/>
            <a:t>19986288.42</a:t>
          </a:fld>
          <a:endParaRPr lang="en-IN" sz="1400"/>
        </a:p>
      </xdr:txBody>
    </xdr:sp>
    <xdr:clientData/>
  </xdr:twoCellAnchor>
  <xdr:twoCellAnchor>
    <xdr:from>
      <xdr:col>11</xdr:col>
      <xdr:colOff>541020</xdr:colOff>
      <xdr:row>8</xdr:row>
      <xdr:rowOff>137160</xdr:rowOff>
    </xdr:from>
    <xdr:to>
      <xdr:col>16</xdr:col>
      <xdr:colOff>99060</xdr:colOff>
      <xdr:row>10</xdr:row>
      <xdr:rowOff>175260</xdr:rowOff>
    </xdr:to>
    <xdr:sp macro="" textlink="Analyze!B4">
      <xdr:nvSpPr>
        <xdr:cNvPr id="11" name="TextBox 10">
          <a:extLst>
            <a:ext uri="{FF2B5EF4-FFF2-40B4-BE49-F238E27FC236}">
              <a16:creationId xmlns:a16="http://schemas.microsoft.com/office/drawing/2014/main" id="{D2B64C97-9ADF-1DBA-AABC-492F097404C2}"/>
            </a:ext>
          </a:extLst>
        </xdr:cNvPr>
        <xdr:cNvSpPr txBox="1"/>
      </xdr:nvSpPr>
      <xdr:spPr>
        <a:xfrm>
          <a:off x="7246620" y="1600200"/>
          <a:ext cx="260604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0B16D4-9305-4092-896A-9868C80B9EAB}" type="TxLink">
            <a:rPr lang="en-US" sz="1400" b="0" i="0" u="none" strike="noStrike">
              <a:solidFill>
                <a:srgbClr val="000000"/>
              </a:solidFill>
              <a:latin typeface="Calibri"/>
              <a:ea typeface="Calibri"/>
              <a:cs typeface="Calibri"/>
            </a:rPr>
            <a:pPr algn="ctr"/>
            <a:t>22669.77</a:t>
          </a:fld>
          <a:endParaRPr lang="en-US" sz="1400" b="0" i="0" u="none" strike="noStrike">
            <a:solidFill>
              <a:srgbClr val="000000"/>
            </a:solidFill>
            <a:latin typeface="+mn-lt"/>
            <a:ea typeface="Calibri"/>
            <a:cs typeface="Calibri"/>
          </a:endParaRPr>
        </a:p>
      </xdr:txBody>
    </xdr:sp>
    <xdr:clientData/>
  </xdr:twoCellAnchor>
  <xdr:twoCellAnchor>
    <xdr:from>
      <xdr:col>1</xdr:col>
      <xdr:colOff>243840</xdr:colOff>
      <xdr:row>13</xdr:row>
      <xdr:rowOff>68580</xdr:rowOff>
    </xdr:from>
    <xdr:to>
      <xdr:col>11</xdr:col>
      <xdr:colOff>7620</xdr:colOff>
      <xdr:row>15</xdr:row>
      <xdr:rowOff>129540</xdr:rowOff>
    </xdr:to>
    <xdr:sp macro="" textlink="">
      <xdr:nvSpPr>
        <xdr:cNvPr id="13" name="Flowchart: Terminator 12">
          <a:extLst>
            <a:ext uri="{FF2B5EF4-FFF2-40B4-BE49-F238E27FC236}">
              <a16:creationId xmlns:a16="http://schemas.microsoft.com/office/drawing/2014/main" id="{22433240-E1B1-0424-8327-EC3F4424502A}"/>
            </a:ext>
          </a:extLst>
        </xdr:cNvPr>
        <xdr:cNvSpPr/>
      </xdr:nvSpPr>
      <xdr:spPr>
        <a:xfrm>
          <a:off x="853440" y="2446020"/>
          <a:ext cx="5859780" cy="42672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495300</xdr:colOff>
      <xdr:row>13</xdr:row>
      <xdr:rowOff>60960</xdr:rowOff>
    </xdr:from>
    <xdr:to>
      <xdr:col>21</xdr:col>
      <xdr:colOff>259080</xdr:colOff>
      <xdr:row>15</xdr:row>
      <xdr:rowOff>121920</xdr:rowOff>
    </xdr:to>
    <xdr:sp macro="" textlink="">
      <xdr:nvSpPr>
        <xdr:cNvPr id="14" name="Flowchart: Terminator 13">
          <a:extLst>
            <a:ext uri="{FF2B5EF4-FFF2-40B4-BE49-F238E27FC236}">
              <a16:creationId xmlns:a16="http://schemas.microsoft.com/office/drawing/2014/main" id="{1DDE8CD7-8F88-F744-8DD9-2DF9C351D763}"/>
            </a:ext>
          </a:extLst>
        </xdr:cNvPr>
        <xdr:cNvSpPr/>
      </xdr:nvSpPr>
      <xdr:spPr>
        <a:xfrm>
          <a:off x="7200900" y="2438400"/>
          <a:ext cx="5859780" cy="42672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13</xdr:row>
      <xdr:rowOff>83820</xdr:rowOff>
    </xdr:from>
    <xdr:to>
      <xdr:col>10</xdr:col>
      <xdr:colOff>7620</xdr:colOff>
      <xdr:row>15</xdr:row>
      <xdr:rowOff>121920</xdr:rowOff>
    </xdr:to>
    <xdr:sp macro="" textlink="">
      <xdr:nvSpPr>
        <xdr:cNvPr id="15" name="TextBox 14">
          <a:extLst>
            <a:ext uri="{FF2B5EF4-FFF2-40B4-BE49-F238E27FC236}">
              <a16:creationId xmlns:a16="http://schemas.microsoft.com/office/drawing/2014/main" id="{6B319427-8A75-CE92-80B1-BF2C8A3C7081}"/>
            </a:ext>
          </a:extLst>
        </xdr:cNvPr>
        <xdr:cNvSpPr txBox="1"/>
      </xdr:nvSpPr>
      <xdr:spPr>
        <a:xfrm>
          <a:off x="1516380" y="2461260"/>
          <a:ext cx="458724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Times New Roman" panose="02020603050405020304" pitchFamily="18" charset="0"/>
              <a:cs typeface="Times New Roman" panose="02020603050405020304" pitchFamily="18" charset="0"/>
            </a:rPr>
            <a:t>Total Revenu</a:t>
          </a:r>
          <a:r>
            <a:rPr lang="en-IN" sz="2000" baseline="0">
              <a:latin typeface="Times New Roman" panose="02020603050405020304" pitchFamily="18" charset="0"/>
              <a:cs typeface="Times New Roman" panose="02020603050405020304" pitchFamily="18" charset="0"/>
            </a:rPr>
            <a:t>  by Product</a:t>
          </a:r>
          <a:endParaRPr lang="en-IN" sz="2000">
            <a:latin typeface="Times New Roman" panose="02020603050405020304" pitchFamily="18" charset="0"/>
            <a:cs typeface="Times New Roman" panose="02020603050405020304" pitchFamily="18" charset="0"/>
          </a:endParaRPr>
        </a:p>
      </xdr:txBody>
    </xdr:sp>
    <xdr:clientData/>
  </xdr:twoCellAnchor>
  <xdr:twoCellAnchor>
    <xdr:from>
      <xdr:col>12</xdr:col>
      <xdr:colOff>548640</xdr:colOff>
      <xdr:row>13</xdr:row>
      <xdr:rowOff>91440</xdr:rowOff>
    </xdr:from>
    <xdr:to>
      <xdr:col>20</xdr:col>
      <xdr:colOff>152400</xdr:colOff>
      <xdr:row>15</xdr:row>
      <xdr:rowOff>121920</xdr:rowOff>
    </xdr:to>
    <xdr:sp macro="" textlink="">
      <xdr:nvSpPr>
        <xdr:cNvPr id="16" name="TextBox 15">
          <a:extLst>
            <a:ext uri="{FF2B5EF4-FFF2-40B4-BE49-F238E27FC236}">
              <a16:creationId xmlns:a16="http://schemas.microsoft.com/office/drawing/2014/main" id="{FF95B6BF-FD32-E674-53C9-A2700D028E8A}"/>
            </a:ext>
          </a:extLst>
        </xdr:cNvPr>
        <xdr:cNvSpPr txBox="1"/>
      </xdr:nvSpPr>
      <xdr:spPr>
        <a:xfrm>
          <a:off x="7863840" y="2468880"/>
          <a:ext cx="448056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Times New Roman" panose="02020603050405020304" pitchFamily="18" charset="0"/>
              <a:cs typeface="Times New Roman" panose="02020603050405020304" pitchFamily="18" charset="0"/>
            </a:rPr>
            <a:t>Total Revenu by Product</a:t>
          </a:r>
        </a:p>
      </xdr:txBody>
    </xdr:sp>
    <xdr:clientData/>
  </xdr:twoCellAnchor>
  <xdr:twoCellAnchor>
    <xdr:from>
      <xdr:col>12</xdr:col>
      <xdr:colOff>548640</xdr:colOff>
      <xdr:row>15</xdr:row>
      <xdr:rowOff>186690</xdr:rowOff>
    </xdr:from>
    <xdr:to>
      <xdr:col>20</xdr:col>
      <xdr:colOff>180975</xdr:colOff>
      <xdr:row>30</xdr:row>
      <xdr:rowOff>186690</xdr:rowOff>
    </xdr:to>
    <xdr:graphicFrame macro="">
      <xdr:nvGraphicFramePr>
        <xdr:cNvPr id="17" name="Chart 16">
          <a:extLst>
            <a:ext uri="{FF2B5EF4-FFF2-40B4-BE49-F238E27FC236}">
              <a16:creationId xmlns:a16="http://schemas.microsoft.com/office/drawing/2014/main" id="{C96A2958-A242-4B63-BB7B-80056CD98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316230</xdr:colOff>
      <xdr:row>16</xdr:row>
      <xdr:rowOff>5714</xdr:rowOff>
    </xdr:from>
    <xdr:to>
      <xdr:col>10</xdr:col>
      <xdr:colOff>11430</xdr:colOff>
      <xdr:row>30</xdr:row>
      <xdr:rowOff>38100</xdr:rowOff>
    </xdr:to>
    <xdr:graphicFrame macro="">
      <xdr:nvGraphicFramePr>
        <xdr:cNvPr id="18" name="Chart 17">
          <a:extLst>
            <a:ext uri="{FF2B5EF4-FFF2-40B4-BE49-F238E27FC236}">
              <a16:creationId xmlns:a16="http://schemas.microsoft.com/office/drawing/2014/main" id="{D8B17F3D-F9BA-4B16-94D4-A53A8B883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241935</xdr:colOff>
      <xdr:row>32</xdr:row>
      <xdr:rowOff>68580</xdr:rowOff>
    </xdr:from>
    <xdr:to>
      <xdr:col>19</xdr:col>
      <xdr:colOff>226695</xdr:colOff>
      <xdr:row>35</xdr:row>
      <xdr:rowOff>7620</xdr:rowOff>
    </xdr:to>
    <xdr:sp macro="" textlink="">
      <xdr:nvSpPr>
        <xdr:cNvPr id="19" name="Flowchart: Terminator 18">
          <a:extLst>
            <a:ext uri="{FF2B5EF4-FFF2-40B4-BE49-F238E27FC236}">
              <a16:creationId xmlns:a16="http://schemas.microsoft.com/office/drawing/2014/main" id="{A347FA9E-B55E-B91D-CF41-5ABBD047E854}"/>
            </a:ext>
          </a:extLst>
        </xdr:cNvPr>
        <xdr:cNvSpPr/>
      </xdr:nvSpPr>
      <xdr:spPr>
        <a:xfrm>
          <a:off x="2070735" y="6164580"/>
          <a:ext cx="9738360" cy="51054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32</xdr:row>
      <xdr:rowOff>161925</xdr:rowOff>
    </xdr:from>
    <xdr:to>
      <xdr:col>17</xdr:col>
      <xdr:colOff>137160</xdr:colOff>
      <xdr:row>34</xdr:row>
      <xdr:rowOff>133350</xdr:rowOff>
    </xdr:to>
    <xdr:sp macro="" textlink="">
      <xdr:nvSpPr>
        <xdr:cNvPr id="20" name="TextBox 19">
          <a:extLst>
            <a:ext uri="{FF2B5EF4-FFF2-40B4-BE49-F238E27FC236}">
              <a16:creationId xmlns:a16="http://schemas.microsoft.com/office/drawing/2014/main" id="{1AC51A04-4C6E-6B88-6922-08D3D1C48D6E}"/>
            </a:ext>
          </a:extLst>
        </xdr:cNvPr>
        <xdr:cNvSpPr txBox="1"/>
      </xdr:nvSpPr>
      <xdr:spPr>
        <a:xfrm>
          <a:off x="3200400" y="6257925"/>
          <a:ext cx="729996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Times New Roman" panose="02020603050405020304" pitchFamily="18" charset="0"/>
              <a:cs typeface="Times New Roman" panose="02020603050405020304" pitchFamily="18" charset="0"/>
            </a:rPr>
            <a:t>Total Revenu</a:t>
          </a:r>
          <a:r>
            <a:rPr lang="en-IN" sz="2000" baseline="0">
              <a:latin typeface="Times New Roman" panose="02020603050405020304" pitchFamily="18" charset="0"/>
              <a:cs typeface="Times New Roman" panose="02020603050405020304" pitchFamily="18" charset="0"/>
            </a:rPr>
            <a:t> and Quantity by Saleperson</a:t>
          </a:r>
          <a:endParaRPr lang="en-IN" sz="2000">
            <a:latin typeface="Times New Roman" panose="02020603050405020304" pitchFamily="18" charset="0"/>
            <a:cs typeface="Times New Roman" panose="02020603050405020304" pitchFamily="18" charset="0"/>
          </a:endParaRPr>
        </a:p>
      </xdr:txBody>
    </xdr:sp>
    <xdr:clientData/>
  </xdr:twoCellAnchor>
  <xdr:twoCellAnchor>
    <xdr:from>
      <xdr:col>3</xdr:col>
      <xdr:colOff>575310</xdr:colOff>
      <xdr:row>35</xdr:row>
      <xdr:rowOff>146685</xdr:rowOff>
    </xdr:from>
    <xdr:to>
      <xdr:col>19</xdr:col>
      <xdr:colOff>445770</xdr:colOff>
      <xdr:row>50</xdr:row>
      <xdr:rowOff>146685</xdr:rowOff>
    </xdr:to>
    <xdr:graphicFrame macro="">
      <xdr:nvGraphicFramePr>
        <xdr:cNvPr id="21" name="Chart 20">
          <a:extLst>
            <a:ext uri="{FF2B5EF4-FFF2-40B4-BE49-F238E27FC236}">
              <a16:creationId xmlns:a16="http://schemas.microsoft.com/office/drawing/2014/main" id="{35DADA06-CD28-49DA-BAD4-5C3C8CA70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348615</xdr:colOff>
      <xdr:row>5</xdr:row>
      <xdr:rowOff>87630</xdr:rowOff>
    </xdr:from>
    <xdr:to>
      <xdr:col>6</xdr:col>
      <xdr:colOff>112395</xdr:colOff>
      <xdr:row>11</xdr:row>
      <xdr:rowOff>163829</xdr:rowOff>
    </xdr:to>
    <mc:AlternateContent xmlns:mc="http://schemas.openxmlformats.org/markup-compatibility/2006">
      <mc:Choice xmlns:a14="http://schemas.microsoft.com/office/drawing/2010/main" Requires="a14">
        <xdr:graphicFrame macro="">
          <xdr:nvGraphicFramePr>
            <xdr:cNvPr id="22" name="Month">
              <a:extLst>
                <a:ext uri="{FF2B5EF4-FFF2-40B4-BE49-F238E27FC236}">
                  <a16:creationId xmlns:a16="http://schemas.microsoft.com/office/drawing/2014/main" id="{20828D2B-1ECC-4236-8E42-3CED05811D3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67815" y="1040130"/>
              <a:ext cx="220218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83820</xdr:colOff>
      <xdr:row>4</xdr:row>
      <xdr:rowOff>160020</xdr:rowOff>
    </xdr:from>
    <xdr:to>
      <xdr:col>20</xdr:col>
      <xdr:colOff>83820</xdr:colOff>
      <xdr:row>11</xdr:row>
      <xdr:rowOff>144780</xdr:rowOff>
    </xdr:to>
    <mc:AlternateContent xmlns:mc="http://schemas.openxmlformats.org/markup-compatibility/2006" xmlns:a14="http://schemas.microsoft.com/office/drawing/2010/main">
      <mc:Choice Requires="a14">
        <xdr:graphicFrame macro="">
          <xdr:nvGraphicFramePr>
            <xdr:cNvPr id="23" name="nested ">
              <a:extLst>
                <a:ext uri="{FF2B5EF4-FFF2-40B4-BE49-F238E27FC236}">
                  <a16:creationId xmlns:a16="http://schemas.microsoft.com/office/drawing/2014/main" id="{57FB8A42-25B6-4988-89CE-62AC1F684ED2}"/>
                </a:ext>
              </a:extLst>
            </xdr:cNvPr>
            <xdr:cNvGraphicFramePr/>
          </xdr:nvGraphicFramePr>
          <xdr:xfrm>
            <a:off x="0" y="0"/>
            <a:ext cx="0" cy="0"/>
          </xdr:xfrm>
          <a:graphic>
            <a:graphicData uri="http://schemas.microsoft.com/office/drawing/2010/slicer">
              <sle:slicer xmlns:sle="http://schemas.microsoft.com/office/drawing/2010/slicer" name="nested "/>
            </a:graphicData>
          </a:graphic>
        </xdr:graphicFrame>
      </mc:Choice>
      <mc:Fallback xmlns="">
        <xdr:sp macro="" textlink="">
          <xdr:nvSpPr>
            <xdr:cNvPr id="0" name=""/>
            <xdr:cNvSpPr>
              <a:spLocks noTextEdit="1"/>
            </xdr:cNvSpPr>
          </xdr:nvSpPr>
          <xdr:spPr>
            <a:xfrm>
              <a:off x="10447020" y="891540"/>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3.72362650463" createdVersion="8" refreshedVersion="8" minRefreshableVersion="3" recordCount="100" xr:uid="{ED5FDEF3-21BC-4502-89FC-B120F8630C99}">
  <cacheSource type="worksheet">
    <worksheetSource name="Table1"/>
  </cacheSource>
  <cacheFields count="12">
    <cacheField name="Date" numFmtId="164">
      <sharedItems containsSemiMixedTypes="0" containsNonDate="0" containsDate="1" containsString="0" minDate="2025-01-04T00:00:00" maxDate="2025-10-27T00:00:00"/>
    </cacheField>
    <cacheField name="Month" numFmtId="164">
      <sharedItems count="10">
        <s v="Apr"/>
        <s v="Jun"/>
        <s v="Sep"/>
        <s v="Feb"/>
        <s v="Oct"/>
        <s v="May"/>
        <s v="Aug"/>
        <s v="Mar"/>
        <s v="Jul"/>
        <s v="Jan"/>
      </sharedItems>
    </cacheField>
    <cacheField name="Region" numFmtId="0">
      <sharedItems count="4">
        <s v="East"/>
        <s v="West"/>
        <s v="North"/>
        <s v="South"/>
      </sharedItems>
    </cacheField>
    <cacheField name="Salesperson" numFmtId="0">
      <sharedItems count="6">
        <s v="Priya"/>
        <s v="Sneha"/>
        <s v="Nisha"/>
        <s v="Amit"/>
        <s v="Vikram"/>
        <s v="Rahul"/>
      </sharedItems>
    </cacheField>
    <cacheField name="Product" numFmtId="0">
      <sharedItems count="7">
        <s v="Webcam"/>
        <s v="Monitor"/>
        <s v="Laptop"/>
        <s v="Printer"/>
        <s v="Keyboard"/>
        <s v="Headphones"/>
        <s v="Mouse"/>
      </sharedItems>
    </cacheField>
    <cacheField name="Quantity" numFmtId="0">
      <sharedItems containsSemiMixedTypes="0" containsString="0" containsNumber="1" containsInteger="1" minValue="1" maxValue="19"/>
    </cacheField>
    <cacheField name="Unit Price" numFmtId="0">
      <sharedItems containsSemiMixedTypes="0" containsString="0" containsNumber="1" containsInteger="1" minValue="1876" maxValue="49747"/>
    </cacheField>
    <cacheField name="Revenue" numFmtId="0">
      <sharedItems containsSemiMixedTypes="0" containsString="0" containsNumber="1" minValue="6736" maxValue="883728"/>
    </cacheField>
    <cacheField name="High Sale" numFmtId="0">
      <sharedItems count="2">
        <s v="Yes"/>
        <s v="No"/>
      </sharedItems>
    </cacheField>
    <cacheField name="VLOOKUP" numFmtId="0">
      <sharedItems containsSemiMixedTypes="0" containsString="0" containsNumber="1" containsInteger="1" minValue="6736" maxValue="883728"/>
    </cacheField>
    <cacheField name="HIGH sales" numFmtId="0">
      <sharedItems/>
    </cacheField>
    <cacheField name="nested " numFmtId="0">
      <sharedItems count="3">
        <s v="Standard"/>
        <s v="Low"/>
        <s v="Premium"/>
      </sharedItems>
    </cacheField>
  </cacheFields>
  <extLst>
    <ext xmlns:x14="http://schemas.microsoft.com/office/spreadsheetml/2009/9/main" uri="{725AE2AE-9491-48be-B2B4-4EB974FC3084}">
      <x14:pivotCacheDefinition pivotCacheId="558165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04-22T00:00:00"/>
    <x v="0"/>
    <x v="0"/>
    <x v="0"/>
    <x v="0"/>
    <n v="11"/>
    <n v="30592"/>
    <n v="336512"/>
    <x v="0"/>
    <n v="336512"/>
    <s v="Yes"/>
    <x v="0"/>
  </r>
  <r>
    <d v="2025-06-24T00:00:00"/>
    <x v="1"/>
    <x v="1"/>
    <x v="0"/>
    <x v="1"/>
    <n v="18"/>
    <n v="11647"/>
    <n v="209646"/>
    <x v="0"/>
    <n v="209646"/>
    <s v="Yes"/>
    <x v="0"/>
  </r>
  <r>
    <d v="2025-09-18T00:00:00"/>
    <x v="2"/>
    <x v="2"/>
    <x v="1"/>
    <x v="2"/>
    <n v="10"/>
    <n v="9716"/>
    <n v="97160"/>
    <x v="1"/>
    <n v="97160"/>
    <s v="No"/>
    <x v="1"/>
  </r>
  <r>
    <d v="2025-02-27T00:00:00"/>
    <x v="3"/>
    <x v="0"/>
    <x v="0"/>
    <x v="0"/>
    <n v="3"/>
    <n v="24355"/>
    <n v="73065"/>
    <x v="1"/>
    <n v="73065"/>
    <s v="No"/>
    <x v="1"/>
  </r>
  <r>
    <d v="2025-10-12T00:00:00"/>
    <x v="4"/>
    <x v="0"/>
    <x v="0"/>
    <x v="3"/>
    <n v="7"/>
    <n v="23009"/>
    <n v="161063"/>
    <x v="1"/>
    <n v="161063"/>
    <s v="No"/>
    <x v="1"/>
  </r>
  <r>
    <d v="2025-05-06T00:00:00"/>
    <x v="5"/>
    <x v="1"/>
    <x v="2"/>
    <x v="2"/>
    <n v="16"/>
    <n v="25376"/>
    <n v="406016"/>
    <x v="0"/>
    <n v="406016"/>
    <s v="Yes"/>
    <x v="0"/>
  </r>
  <r>
    <d v="2025-04-22T00:00:00"/>
    <x v="0"/>
    <x v="2"/>
    <x v="1"/>
    <x v="2"/>
    <n v="16"/>
    <n v="46091"/>
    <n v="737456"/>
    <x v="0"/>
    <n v="737456"/>
    <s v="Yes"/>
    <x v="2"/>
  </r>
  <r>
    <d v="2025-08-19T00:00:00"/>
    <x v="6"/>
    <x v="2"/>
    <x v="2"/>
    <x v="2"/>
    <n v="17"/>
    <n v="5780"/>
    <n v="98260"/>
    <x v="1"/>
    <n v="98260"/>
    <s v="No"/>
    <x v="1"/>
  </r>
  <r>
    <d v="2025-03-22T00:00:00"/>
    <x v="7"/>
    <x v="0"/>
    <x v="2"/>
    <x v="4"/>
    <n v="2"/>
    <n v="3368"/>
    <n v="6736"/>
    <x v="1"/>
    <n v="6736"/>
    <s v="No"/>
    <x v="1"/>
  </r>
  <r>
    <d v="2025-07-18T00:00:00"/>
    <x v="8"/>
    <x v="3"/>
    <x v="1"/>
    <x v="3"/>
    <n v="1"/>
    <n v="13039"/>
    <n v="13039"/>
    <x v="1"/>
    <n v="13039"/>
    <s v="No"/>
    <x v="1"/>
  </r>
  <r>
    <d v="2025-06-04T00:00:00"/>
    <x v="1"/>
    <x v="0"/>
    <x v="3"/>
    <x v="2"/>
    <n v="16"/>
    <n v="7655"/>
    <n v="122480"/>
    <x v="1"/>
    <n v="122480"/>
    <s v="No"/>
    <x v="1"/>
  </r>
  <r>
    <d v="2025-08-27T00:00:00"/>
    <x v="6"/>
    <x v="0"/>
    <x v="2"/>
    <x v="1"/>
    <n v="12"/>
    <n v="41941"/>
    <n v="503292"/>
    <x v="0"/>
    <n v="503292"/>
    <s v="Yes"/>
    <x v="2"/>
  </r>
  <r>
    <d v="2025-09-27T00:00:00"/>
    <x v="2"/>
    <x v="0"/>
    <x v="4"/>
    <x v="5"/>
    <n v="5"/>
    <n v="5495"/>
    <n v="27475"/>
    <x v="1"/>
    <n v="27475"/>
    <s v="No"/>
    <x v="1"/>
  </r>
  <r>
    <d v="2025-09-28T00:00:00"/>
    <x v="2"/>
    <x v="0"/>
    <x v="4"/>
    <x v="2"/>
    <n v="5"/>
    <n v="11893"/>
    <n v="59465"/>
    <x v="1"/>
    <n v="59465"/>
    <s v="No"/>
    <x v="1"/>
  </r>
  <r>
    <d v="2025-10-20T00:00:00"/>
    <x v="4"/>
    <x v="1"/>
    <x v="0"/>
    <x v="4"/>
    <n v="9"/>
    <n v="26547"/>
    <n v="238923"/>
    <x v="0"/>
    <n v="238923"/>
    <s v="Yes"/>
    <x v="0"/>
  </r>
  <r>
    <d v="2025-01-11T00:00:00"/>
    <x v="9"/>
    <x v="2"/>
    <x v="4"/>
    <x v="0"/>
    <n v="9"/>
    <n v="23386"/>
    <n v="210474"/>
    <x v="0"/>
    <n v="210474"/>
    <s v="Yes"/>
    <x v="0"/>
  </r>
  <r>
    <d v="2025-07-14T00:00:00"/>
    <x v="8"/>
    <x v="1"/>
    <x v="0"/>
    <x v="3"/>
    <n v="3"/>
    <n v="14403"/>
    <n v="43209"/>
    <x v="1"/>
    <n v="43209"/>
    <s v="No"/>
    <x v="1"/>
  </r>
  <r>
    <d v="2025-04-27T00:00:00"/>
    <x v="0"/>
    <x v="1"/>
    <x v="3"/>
    <x v="4"/>
    <n v="19"/>
    <n v="33097"/>
    <n v="199862.88421052601"/>
    <x v="1"/>
    <n v="628843"/>
    <s v="No"/>
    <x v="1"/>
  </r>
  <r>
    <d v="2025-05-08T00:00:00"/>
    <x v="5"/>
    <x v="1"/>
    <x v="1"/>
    <x v="2"/>
    <n v="16"/>
    <n v="14121"/>
    <n v="225936"/>
    <x v="0"/>
    <n v="225936"/>
    <s v="Yes"/>
    <x v="0"/>
  </r>
  <r>
    <d v="2025-09-14T00:00:00"/>
    <x v="2"/>
    <x v="0"/>
    <x v="1"/>
    <x v="3"/>
    <n v="16"/>
    <n v="11966"/>
    <n v="191456"/>
    <x v="1"/>
    <n v="191456"/>
    <s v="No"/>
    <x v="1"/>
  </r>
  <r>
    <d v="2025-01-09T00:00:00"/>
    <x v="9"/>
    <x v="3"/>
    <x v="1"/>
    <x v="5"/>
    <n v="3"/>
    <n v="34621"/>
    <n v="103863"/>
    <x v="1"/>
    <n v="103863"/>
    <s v="No"/>
    <x v="1"/>
  </r>
  <r>
    <d v="2025-04-07T00:00:00"/>
    <x v="0"/>
    <x v="2"/>
    <x v="4"/>
    <x v="2"/>
    <n v="1"/>
    <n v="29312"/>
    <n v="29312"/>
    <x v="1"/>
    <n v="29312"/>
    <s v="No"/>
    <x v="1"/>
  </r>
  <r>
    <d v="2025-04-11T00:00:00"/>
    <x v="0"/>
    <x v="3"/>
    <x v="3"/>
    <x v="4"/>
    <n v="11"/>
    <n v="23677"/>
    <n v="260447"/>
    <x v="0"/>
    <n v="260447"/>
    <s v="Yes"/>
    <x v="0"/>
  </r>
  <r>
    <d v="2025-02-14T00:00:00"/>
    <x v="3"/>
    <x v="1"/>
    <x v="4"/>
    <x v="6"/>
    <n v="17"/>
    <n v="32289"/>
    <n v="548913"/>
    <x v="0"/>
    <n v="548913"/>
    <s v="Yes"/>
    <x v="2"/>
  </r>
  <r>
    <d v="2025-08-03T00:00:00"/>
    <x v="6"/>
    <x v="1"/>
    <x v="4"/>
    <x v="1"/>
    <n v="8"/>
    <n v="32024"/>
    <n v="256192"/>
    <x v="0"/>
    <n v="256192"/>
    <s v="Yes"/>
    <x v="0"/>
  </r>
  <r>
    <d v="2025-10-07T00:00:00"/>
    <x v="4"/>
    <x v="3"/>
    <x v="3"/>
    <x v="0"/>
    <n v="4"/>
    <n v="43675"/>
    <n v="174700"/>
    <x v="1"/>
    <n v="174700"/>
    <s v="No"/>
    <x v="1"/>
  </r>
  <r>
    <d v="2025-07-02T00:00:00"/>
    <x v="8"/>
    <x v="3"/>
    <x v="3"/>
    <x v="4"/>
    <n v="6"/>
    <n v="5777"/>
    <n v="34662"/>
    <x v="1"/>
    <n v="34662"/>
    <s v="No"/>
    <x v="1"/>
  </r>
  <r>
    <d v="2025-05-03T00:00:00"/>
    <x v="5"/>
    <x v="3"/>
    <x v="3"/>
    <x v="3"/>
    <n v="8"/>
    <n v="30749"/>
    <n v="245992"/>
    <x v="0"/>
    <n v="245992"/>
    <s v="Yes"/>
    <x v="0"/>
  </r>
  <r>
    <d v="2025-04-03T00:00:00"/>
    <x v="0"/>
    <x v="1"/>
    <x v="3"/>
    <x v="2"/>
    <n v="3"/>
    <n v="16338"/>
    <n v="49014"/>
    <x v="1"/>
    <n v="49014"/>
    <s v="No"/>
    <x v="1"/>
  </r>
  <r>
    <d v="2025-04-02T00:00:00"/>
    <x v="0"/>
    <x v="1"/>
    <x v="1"/>
    <x v="1"/>
    <n v="16"/>
    <n v="3491"/>
    <n v="55856"/>
    <x v="1"/>
    <n v="55856"/>
    <s v="No"/>
    <x v="1"/>
  </r>
  <r>
    <d v="2025-09-25T00:00:00"/>
    <x v="2"/>
    <x v="2"/>
    <x v="5"/>
    <x v="2"/>
    <n v="3"/>
    <n v="28236"/>
    <n v="84708"/>
    <x v="1"/>
    <n v="84708"/>
    <s v="No"/>
    <x v="1"/>
  </r>
  <r>
    <d v="2025-02-19T00:00:00"/>
    <x v="3"/>
    <x v="2"/>
    <x v="5"/>
    <x v="3"/>
    <n v="18"/>
    <n v="49096"/>
    <n v="883728"/>
    <x v="0"/>
    <n v="883728"/>
    <s v="Yes"/>
    <x v="2"/>
  </r>
  <r>
    <d v="2025-07-25T00:00:00"/>
    <x v="8"/>
    <x v="1"/>
    <x v="3"/>
    <x v="2"/>
    <n v="14"/>
    <n v="15599"/>
    <n v="218386"/>
    <x v="0"/>
    <n v="218386"/>
    <s v="Yes"/>
    <x v="0"/>
  </r>
  <r>
    <d v="2025-10-10T00:00:00"/>
    <x v="4"/>
    <x v="3"/>
    <x v="5"/>
    <x v="6"/>
    <n v="18"/>
    <n v="20508"/>
    <n v="369144"/>
    <x v="0"/>
    <n v="369144"/>
    <s v="Yes"/>
    <x v="0"/>
  </r>
  <r>
    <d v="2025-09-19T00:00:00"/>
    <x v="2"/>
    <x v="3"/>
    <x v="5"/>
    <x v="1"/>
    <n v="2"/>
    <n v="4051"/>
    <n v="8102"/>
    <x v="1"/>
    <n v="8102"/>
    <s v="No"/>
    <x v="1"/>
  </r>
  <r>
    <d v="2025-07-01T00:00:00"/>
    <x v="8"/>
    <x v="2"/>
    <x v="3"/>
    <x v="1"/>
    <n v="3"/>
    <n v="49747"/>
    <n v="149241"/>
    <x v="1"/>
    <n v="149241"/>
    <s v="No"/>
    <x v="1"/>
  </r>
  <r>
    <d v="2025-07-19T00:00:00"/>
    <x v="8"/>
    <x v="1"/>
    <x v="5"/>
    <x v="3"/>
    <n v="16"/>
    <n v="22606"/>
    <n v="361696"/>
    <x v="0"/>
    <n v="361696"/>
    <s v="Yes"/>
    <x v="0"/>
  </r>
  <r>
    <d v="2025-04-03T00:00:00"/>
    <x v="0"/>
    <x v="2"/>
    <x v="4"/>
    <x v="0"/>
    <n v="9"/>
    <n v="22699"/>
    <n v="204291"/>
    <x v="0"/>
    <n v="204291"/>
    <s v="Yes"/>
    <x v="0"/>
  </r>
  <r>
    <d v="2025-08-16T00:00:00"/>
    <x v="6"/>
    <x v="2"/>
    <x v="0"/>
    <x v="6"/>
    <n v="4"/>
    <n v="1876"/>
    <n v="7504"/>
    <x v="1"/>
    <n v="7504"/>
    <s v="No"/>
    <x v="1"/>
  </r>
  <r>
    <d v="2025-03-20T00:00:00"/>
    <x v="7"/>
    <x v="0"/>
    <x v="0"/>
    <x v="4"/>
    <n v="1"/>
    <n v="33093"/>
    <n v="33093"/>
    <x v="1"/>
    <n v="33093"/>
    <s v="No"/>
    <x v="1"/>
  </r>
  <r>
    <d v="2025-01-15T00:00:00"/>
    <x v="9"/>
    <x v="0"/>
    <x v="3"/>
    <x v="2"/>
    <n v="4"/>
    <n v="5142"/>
    <n v="20568"/>
    <x v="1"/>
    <n v="20568"/>
    <s v="No"/>
    <x v="1"/>
  </r>
  <r>
    <d v="2025-06-02T00:00:00"/>
    <x v="1"/>
    <x v="0"/>
    <x v="1"/>
    <x v="5"/>
    <n v="1"/>
    <n v="16202"/>
    <n v="16202"/>
    <x v="1"/>
    <n v="16202"/>
    <s v="No"/>
    <x v="1"/>
  </r>
  <r>
    <d v="2025-02-25T00:00:00"/>
    <x v="3"/>
    <x v="3"/>
    <x v="3"/>
    <x v="2"/>
    <n v="14"/>
    <n v="40734"/>
    <n v="199862.88421052601"/>
    <x v="1"/>
    <n v="570276"/>
    <s v="No"/>
    <x v="1"/>
  </r>
  <r>
    <d v="2025-08-22T00:00:00"/>
    <x v="6"/>
    <x v="1"/>
    <x v="1"/>
    <x v="2"/>
    <n v="16"/>
    <n v="8079"/>
    <n v="129264"/>
    <x v="1"/>
    <n v="129264"/>
    <s v="No"/>
    <x v="1"/>
  </r>
  <r>
    <d v="2025-02-19T00:00:00"/>
    <x v="3"/>
    <x v="1"/>
    <x v="0"/>
    <x v="4"/>
    <n v="8"/>
    <n v="8987"/>
    <n v="71896"/>
    <x v="1"/>
    <n v="71896"/>
    <s v="No"/>
    <x v="1"/>
  </r>
  <r>
    <d v="2025-03-17T00:00:00"/>
    <x v="7"/>
    <x v="1"/>
    <x v="3"/>
    <x v="2"/>
    <n v="7"/>
    <n v="40567"/>
    <n v="199862.88421052601"/>
    <x v="1"/>
    <n v="283969"/>
    <s v="No"/>
    <x v="1"/>
  </r>
  <r>
    <d v="2025-05-02T00:00:00"/>
    <x v="5"/>
    <x v="1"/>
    <x v="2"/>
    <x v="6"/>
    <n v="3"/>
    <n v="29940"/>
    <n v="89820"/>
    <x v="1"/>
    <n v="89820"/>
    <s v="No"/>
    <x v="1"/>
  </r>
  <r>
    <d v="2025-06-24T00:00:00"/>
    <x v="1"/>
    <x v="0"/>
    <x v="4"/>
    <x v="6"/>
    <n v="17"/>
    <n v="38233"/>
    <n v="649961"/>
    <x v="0"/>
    <n v="649961"/>
    <s v="Yes"/>
    <x v="2"/>
  </r>
  <r>
    <d v="2025-09-09T00:00:00"/>
    <x v="2"/>
    <x v="3"/>
    <x v="5"/>
    <x v="1"/>
    <n v="1"/>
    <n v="18019"/>
    <n v="18019"/>
    <x v="1"/>
    <n v="18019"/>
    <s v="No"/>
    <x v="1"/>
  </r>
  <r>
    <d v="2025-02-08T00:00:00"/>
    <x v="3"/>
    <x v="3"/>
    <x v="1"/>
    <x v="3"/>
    <n v="16"/>
    <n v="47185"/>
    <n v="754960"/>
    <x v="0"/>
    <n v="754960"/>
    <s v="Yes"/>
    <x v="2"/>
  </r>
  <r>
    <d v="2025-06-27T00:00:00"/>
    <x v="1"/>
    <x v="0"/>
    <x v="2"/>
    <x v="0"/>
    <n v="12"/>
    <n v="19077"/>
    <n v="228924"/>
    <x v="0"/>
    <n v="228924"/>
    <s v="Yes"/>
    <x v="0"/>
  </r>
  <r>
    <d v="2025-01-27T00:00:00"/>
    <x v="9"/>
    <x v="3"/>
    <x v="5"/>
    <x v="5"/>
    <n v="19"/>
    <n v="27258"/>
    <n v="517902"/>
    <x v="0"/>
    <n v="517902"/>
    <s v="Yes"/>
    <x v="2"/>
  </r>
  <r>
    <d v="2025-10-26T00:00:00"/>
    <x v="4"/>
    <x v="0"/>
    <x v="5"/>
    <x v="2"/>
    <n v="14"/>
    <n v="22136"/>
    <n v="309904"/>
    <x v="0"/>
    <n v="309904"/>
    <s v="Yes"/>
    <x v="0"/>
  </r>
  <r>
    <d v="2025-09-16T00:00:00"/>
    <x v="2"/>
    <x v="1"/>
    <x v="3"/>
    <x v="2"/>
    <n v="6"/>
    <n v="9311"/>
    <n v="55866"/>
    <x v="1"/>
    <n v="55866"/>
    <s v="No"/>
    <x v="1"/>
  </r>
  <r>
    <d v="2025-01-24T00:00:00"/>
    <x v="9"/>
    <x v="0"/>
    <x v="5"/>
    <x v="4"/>
    <n v="6"/>
    <n v="18214"/>
    <n v="109284"/>
    <x v="1"/>
    <n v="109284"/>
    <s v="No"/>
    <x v="1"/>
  </r>
  <r>
    <d v="2025-08-27T00:00:00"/>
    <x v="6"/>
    <x v="1"/>
    <x v="4"/>
    <x v="3"/>
    <n v="13"/>
    <n v="15098"/>
    <n v="196274"/>
    <x v="1"/>
    <n v="196274"/>
    <s v="No"/>
    <x v="1"/>
  </r>
  <r>
    <d v="2025-04-19T00:00:00"/>
    <x v="0"/>
    <x v="1"/>
    <x v="2"/>
    <x v="6"/>
    <n v="19"/>
    <n v="29251"/>
    <n v="555769"/>
    <x v="0"/>
    <n v="555769"/>
    <s v="Yes"/>
    <x v="2"/>
  </r>
  <r>
    <d v="2025-05-20T00:00:00"/>
    <x v="5"/>
    <x v="2"/>
    <x v="5"/>
    <x v="5"/>
    <n v="8"/>
    <n v="38945"/>
    <n v="311560"/>
    <x v="0"/>
    <n v="311560"/>
    <s v="Yes"/>
    <x v="0"/>
  </r>
  <r>
    <d v="2025-06-12T00:00:00"/>
    <x v="1"/>
    <x v="0"/>
    <x v="3"/>
    <x v="1"/>
    <n v="2"/>
    <n v="48030"/>
    <n v="96060"/>
    <x v="1"/>
    <n v="96060"/>
    <s v="No"/>
    <x v="1"/>
  </r>
  <r>
    <d v="2025-02-11T00:00:00"/>
    <x v="3"/>
    <x v="2"/>
    <x v="4"/>
    <x v="6"/>
    <n v="1"/>
    <n v="26945"/>
    <n v="26945"/>
    <x v="1"/>
    <n v="26945"/>
    <s v="No"/>
    <x v="1"/>
  </r>
  <r>
    <d v="2025-07-21T00:00:00"/>
    <x v="8"/>
    <x v="0"/>
    <x v="0"/>
    <x v="3"/>
    <n v="15"/>
    <n v="26316"/>
    <n v="394740"/>
    <x v="0"/>
    <n v="394740"/>
    <s v="Yes"/>
    <x v="0"/>
  </r>
  <r>
    <d v="2025-07-22T00:00:00"/>
    <x v="8"/>
    <x v="0"/>
    <x v="2"/>
    <x v="0"/>
    <n v="1"/>
    <n v="33217"/>
    <n v="33217"/>
    <x v="1"/>
    <n v="33217"/>
    <s v="No"/>
    <x v="1"/>
  </r>
  <r>
    <d v="2025-09-16T00:00:00"/>
    <x v="2"/>
    <x v="2"/>
    <x v="5"/>
    <x v="1"/>
    <n v="5"/>
    <n v="9308"/>
    <n v="46540"/>
    <x v="1"/>
    <n v="46540"/>
    <s v="No"/>
    <x v="1"/>
  </r>
  <r>
    <d v="2025-02-25T00:00:00"/>
    <x v="3"/>
    <x v="2"/>
    <x v="3"/>
    <x v="0"/>
    <n v="16"/>
    <n v="6949"/>
    <n v="111184"/>
    <x v="1"/>
    <n v="111184"/>
    <s v="No"/>
    <x v="1"/>
  </r>
  <r>
    <d v="2025-10-02T00:00:00"/>
    <x v="4"/>
    <x v="0"/>
    <x v="0"/>
    <x v="4"/>
    <n v="19"/>
    <n v="2150"/>
    <n v="40850"/>
    <x v="1"/>
    <n v="40850"/>
    <s v="No"/>
    <x v="1"/>
  </r>
  <r>
    <d v="2025-02-28T00:00:00"/>
    <x v="3"/>
    <x v="3"/>
    <x v="0"/>
    <x v="4"/>
    <n v="4"/>
    <n v="24944"/>
    <n v="99776"/>
    <x v="1"/>
    <n v="99776"/>
    <s v="No"/>
    <x v="1"/>
  </r>
  <r>
    <d v="2025-03-22T00:00:00"/>
    <x v="7"/>
    <x v="1"/>
    <x v="1"/>
    <x v="2"/>
    <n v="3"/>
    <n v="35699"/>
    <n v="107097"/>
    <x v="1"/>
    <n v="107097"/>
    <s v="No"/>
    <x v="1"/>
  </r>
  <r>
    <d v="2025-07-01T00:00:00"/>
    <x v="8"/>
    <x v="2"/>
    <x v="4"/>
    <x v="0"/>
    <n v="17"/>
    <n v="10204"/>
    <n v="173468"/>
    <x v="1"/>
    <n v="173468"/>
    <s v="No"/>
    <x v="1"/>
  </r>
  <r>
    <d v="2025-04-29T00:00:00"/>
    <x v="0"/>
    <x v="1"/>
    <x v="5"/>
    <x v="3"/>
    <n v="17"/>
    <n v="2081"/>
    <n v="35377"/>
    <x v="1"/>
    <n v="35377"/>
    <s v="No"/>
    <x v="1"/>
  </r>
  <r>
    <d v="2025-09-06T00:00:00"/>
    <x v="2"/>
    <x v="3"/>
    <x v="3"/>
    <x v="5"/>
    <n v="12"/>
    <n v="30305"/>
    <n v="363660"/>
    <x v="0"/>
    <n v="363660"/>
    <s v="Yes"/>
    <x v="0"/>
  </r>
  <r>
    <d v="2025-10-10T00:00:00"/>
    <x v="4"/>
    <x v="3"/>
    <x v="1"/>
    <x v="1"/>
    <n v="14"/>
    <n v="17896"/>
    <n v="250544"/>
    <x v="0"/>
    <n v="250544"/>
    <s v="Yes"/>
    <x v="0"/>
  </r>
  <r>
    <d v="2025-01-04T00:00:00"/>
    <x v="9"/>
    <x v="3"/>
    <x v="4"/>
    <x v="6"/>
    <n v="6"/>
    <n v="47175"/>
    <n v="283050"/>
    <x v="0"/>
    <n v="283050"/>
    <s v="Yes"/>
    <x v="0"/>
  </r>
  <r>
    <d v="2025-05-29T00:00:00"/>
    <x v="5"/>
    <x v="2"/>
    <x v="1"/>
    <x v="3"/>
    <n v="3"/>
    <n v="8805"/>
    <n v="26415"/>
    <x v="1"/>
    <n v="26415"/>
    <s v="No"/>
    <x v="1"/>
  </r>
  <r>
    <d v="2025-06-06T00:00:00"/>
    <x v="1"/>
    <x v="3"/>
    <x v="2"/>
    <x v="3"/>
    <n v="9"/>
    <n v="6237"/>
    <n v="56133"/>
    <x v="1"/>
    <n v="56133"/>
    <s v="No"/>
    <x v="1"/>
  </r>
  <r>
    <d v="2025-07-09T00:00:00"/>
    <x v="8"/>
    <x v="2"/>
    <x v="4"/>
    <x v="4"/>
    <n v="5"/>
    <n v="21056"/>
    <n v="105280"/>
    <x v="1"/>
    <n v="105280"/>
    <s v="No"/>
    <x v="1"/>
  </r>
  <r>
    <d v="2025-02-06T00:00:00"/>
    <x v="3"/>
    <x v="3"/>
    <x v="4"/>
    <x v="0"/>
    <n v="17"/>
    <n v="46543"/>
    <n v="791231"/>
    <x v="0"/>
    <n v="791231"/>
    <s v="Yes"/>
    <x v="2"/>
  </r>
  <r>
    <d v="2025-06-22T00:00:00"/>
    <x v="1"/>
    <x v="1"/>
    <x v="5"/>
    <x v="2"/>
    <n v="14"/>
    <n v="46952"/>
    <n v="657328"/>
    <x v="0"/>
    <n v="657328"/>
    <s v="Yes"/>
    <x v="2"/>
  </r>
  <r>
    <d v="2025-09-22T00:00:00"/>
    <x v="2"/>
    <x v="1"/>
    <x v="4"/>
    <x v="2"/>
    <n v="3"/>
    <n v="4343"/>
    <n v="13029"/>
    <x v="1"/>
    <n v="13029"/>
    <s v="No"/>
    <x v="1"/>
  </r>
  <r>
    <d v="2025-08-27T00:00:00"/>
    <x v="6"/>
    <x v="0"/>
    <x v="1"/>
    <x v="1"/>
    <n v="1"/>
    <n v="14500"/>
    <n v="14500"/>
    <x v="1"/>
    <n v="14500"/>
    <s v="No"/>
    <x v="1"/>
  </r>
  <r>
    <d v="2025-08-30T00:00:00"/>
    <x v="6"/>
    <x v="1"/>
    <x v="4"/>
    <x v="4"/>
    <n v="1"/>
    <n v="30375"/>
    <n v="30375"/>
    <x v="1"/>
    <n v="30375"/>
    <s v="No"/>
    <x v="1"/>
  </r>
  <r>
    <d v="2025-02-02T00:00:00"/>
    <x v="3"/>
    <x v="0"/>
    <x v="5"/>
    <x v="3"/>
    <n v="3"/>
    <n v="10662"/>
    <n v="31986"/>
    <x v="1"/>
    <n v="31986"/>
    <s v="No"/>
    <x v="1"/>
  </r>
  <r>
    <d v="2025-10-10T00:00:00"/>
    <x v="4"/>
    <x v="1"/>
    <x v="5"/>
    <x v="5"/>
    <n v="18"/>
    <n v="17964"/>
    <n v="323352"/>
    <x v="0"/>
    <n v="323352"/>
    <s v="Yes"/>
    <x v="0"/>
  </r>
  <r>
    <d v="2025-04-05T00:00:00"/>
    <x v="0"/>
    <x v="2"/>
    <x v="2"/>
    <x v="4"/>
    <n v="10"/>
    <n v="48893"/>
    <n v="488930"/>
    <x v="0"/>
    <n v="488930"/>
    <s v="Yes"/>
    <x v="0"/>
  </r>
  <r>
    <d v="2025-07-03T00:00:00"/>
    <x v="8"/>
    <x v="1"/>
    <x v="1"/>
    <x v="1"/>
    <n v="3"/>
    <n v="9130"/>
    <n v="27390"/>
    <x v="1"/>
    <n v="27390"/>
    <s v="No"/>
    <x v="1"/>
  </r>
  <r>
    <d v="2025-04-21T00:00:00"/>
    <x v="0"/>
    <x v="0"/>
    <x v="0"/>
    <x v="1"/>
    <n v="8"/>
    <n v="20531"/>
    <n v="164248"/>
    <x v="1"/>
    <n v="164248"/>
    <s v="No"/>
    <x v="1"/>
  </r>
  <r>
    <d v="2025-07-22T00:00:00"/>
    <x v="8"/>
    <x v="0"/>
    <x v="0"/>
    <x v="4"/>
    <n v="14"/>
    <n v="2679"/>
    <n v="37506"/>
    <x v="1"/>
    <n v="37506"/>
    <s v="No"/>
    <x v="1"/>
  </r>
  <r>
    <d v="2025-02-09T00:00:00"/>
    <x v="3"/>
    <x v="3"/>
    <x v="4"/>
    <x v="1"/>
    <n v="18"/>
    <n v="4506"/>
    <n v="199862.88421052601"/>
    <x v="1"/>
    <n v="81108"/>
    <s v="No"/>
    <x v="1"/>
  </r>
  <r>
    <d v="2025-03-30T00:00:00"/>
    <x v="7"/>
    <x v="2"/>
    <x v="2"/>
    <x v="4"/>
    <n v="15"/>
    <n v="14284"/>
    <n v="214260"/>
    <x v="0"/>
    <n v="214260"/>
    <s v="Yes"/>
    <x v="0"/>
  </r>
  <r>
    <d v="2025-02-13T00:00:00"/>
    <x v="3"/>
    <x v="1"/>
    <x v="3"/>
    <x v="6"/>
    <n v="2"/>
    <n v="8253"/>
    <n v="16506"/>
    <x v="1"/>
    <n v="16506"/>
    <s v="No"/>
    <x v="1"/>
  </r>
  <r>
    <d v="2025-04-28T00:00:00"/>
    <x v="0"/>
    <x v="3"/>
    <x v="4"/>
    <x v="4"/>
    <n v="10"/>
    <n v="20128"/>
    <n v="201280"/>
    <x v="0"/>
    <n v="201280"/>
    <s v="Yes"/>
    <x v="0"/>
  </r>
  <r>
    <d v="2025-09-06T00:00:00"/>
    <x v="2"/>
    <x v="1"/>
    <x v="2"/>
    <x v="0"/>
    <n v="2"/>
    <n v="28932"/>
    <n v="57864"/>
    <x v="1"/>
    <n v="57864"/>
    <s v="No"/>
    <x v="1"/>
  </r>
  <r>
    <d v="2025-09-15T00:00:00"/>
    <x v="2"/>
    <x v="1"/>
    <x v="1"/>
    <x v="4"/>
    <n v="17"/>
    <n v="10435"/>
    <n v="177395"/>
    <x v="1"/>
    <n v="177395"/>
    <s v="No"/>
    <x v="1"/>
  </r>
  <r>
    <d v="2025-08-16T00:00:00"/>
    <x v="6"/>
    <x v="3"/>
    <x v="1"/>
    <x v="1"/>
    <n v="8"/>
    <n v="45078"/>
    <n v="360624"/>
    <x v="0"/>
    <n v="360624"/>
    <s v="Yes"/>
    <x v="0"/>
  </r>
  <r>
    <d v="2025-05-19T00:00:00"/>
    <x v="5"/>
    <x v="3"/>
    <x v="1"/>
    <x v="0"/>
    <n v="1"/>
    <n v="14296"/>
    <n v="14296"/>
    <x v="1"/>
    <n v="14296"/>
    <s v="No"/>
    <x v="1"/>
  </r>
  <r>
    <d v="2025-09-27T00:00:00"/>
    <x v="2"/>
    <x v="3"/>
    <x v="1"/>
    <x v="1"/>
    <n v="9"/>
    <n v="31445"/>
    <n v="283005"/>
    <x v="0"/>
    <n v="283005"/>
    <s v="Yes"/>
    <x v="0"/>
  </r>
  <r>
    <d v="2025-01-12T00:00:00"/>
    <x v="9"/>
    <x v="3"/>
    <x v="1"/>
    <x v="2"/>
    <n v="11"/>
    <n v="14245"/>
    <n v="156695"/>
    <x v="1"/>
    <n v="156695"/>
    <s v="No"/>
    <x v="1"/>
  </r>
  <r>
    <d v="2025-01-04T00:00:00"/>
    <x v="9"/>
    <x v="3"/>
    <x v="2"/>
    <x v="2"/>
    <n v="16"/>
    <n v="30124"/>
    <n v="199862.88421052601"/>
    <x v="1"/>
    <n v="481984"/>
    <s v="No"/>
    <x v="1"/>
  </r>
  <r>
    <d v="2025-01-29T00:00:00"/>
    <x v="9"/>
    <x v="1"/>
    <x v="2"/>
    <x v="0"/>
    <n v="7"/>
    <n v="30899"/>
    <n v="216293"/>
    <x v="0"/>
    <n v="216293"/>
    <s v="Yes"/>
    <x v="0"/>
  </r>
  <r>
    <d v="2025-10-02T00:00:00"/>
    <x v="4"/>
    <x v="3"/>
    <x v="5"/>
    <x v="6"/>
    <n v="10"/>
    <n v="44919"/>
    <n v="449190"/>
    <x v="0"/>
    <n v="449190"/>
    <s v="Yes"/>
    <x v="0"/>
  </r>
  <r>
    <d v="2025-04-25T00:00:00"/>
    <x v="0"/>
    <x v="2"/>
    <x v="0"/>
    <x v="2"/>
    <n v="3"/>
    <n v="44225"/>
    <n v="132675"/>
    <x v="1"/>
    <n v="132675"/>
    <s v="N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93DBC-2FF6-4303-8F46-DE813CF622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12" firstHeaderRow="1" firstDataRow="1" firstDataCol="1"/>
  <pivotFields count="12">
    <pivotField numFmtId="164" showAll="0"/>
    <pivotField showAll="0">
      <items count="11">
        <item x="9"/>
        <item x="3"/>
        <item x="7"/>
        <item x="0"/>
        <item x="5"/>
        <item x="1"/>
        <item x="8"/>
        <item x="6"/>
        <item x="2"/>
        <item x="4"/>
        <item t="default"/>
      </items>
    </pivotField>
    <pivotField axis="axisRow" showAll="0">
      <items count="5">
        <item x="0"/>
        <item x="2"/>
        <item x="3"/>
        <item x="1"/>
        <item t="default"/>
      </items>
    </pivotField>
    <pivotField showAll="0"/>
    <pivotField showAll="0"/>
    <pivotField showAll="0"/>
    <pivotField showAll="0"/>
    <pivotField dataField="1" showAll="0"/>
    <pivotField showAll="0"/>
    <pivotField showAll="0"/>
    <pivotField showAll="0"/>
    <pivotField showAll="0">
      <items count="4">
        <item x="1"/>
        <item x="2"/>
        <item x="0"/>
        <item t="default"/>
      </items>
    </pivotField>
  </pivotFields>
  <rowFields count="1">
    <field x="2"/>
  </rowFields>
  <rowItems count="5">
    <i>
      <x/>
    </i>
    <i>
      <x v="1"/>
    </i>
    <i>
      <x v="2"/>
    </i>
    <i>
      <x v="3"/>
    </i>
    <i t="grand">
      <x/>
    </i>
  </rowItems>
  <colItems count="1">
    <i/>
  </colItems>
  <dataFields count="1">
    <dataField name="Sum of Revenue" fld="7"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4862F7-D3B6-49C5-92E0-124788CA1C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2">
    <pivotField numFmtId="164" showAll="0"/>
    <pivotField showAll="0">
      <items count="11">
        <item x="9"/>
        <item x="3"/>
        <item x="7"/>
        <item x="0"/>
        <item x="5"/>
        <item x="1"/>
        <item x="8"/>
        <item x="6"/>
        <item x="2"/>
        <item x="4"/>
        <item t="default"/>
      </items>
    </pivotField>
    <pivotField showAll="0"/>
    <pivotField showAll="0"/>
    <pivotField showAll="0"/>
    <pivotField showAll="0"/>
    <pivotField dataField="1" showAll="0"/>
    <pivotField dataField="1" showAll="0"/>
    <pivotField showAll="0">
      <items count="3">
        <item x="1"/>
        <item x="0"/>
        <item t="default"/>
      </items>
    </pivotField>
    <pivotField showAll="0"/>
    <pivotField showAll="0"/>
    <pivotField showAll="0">
      <items count="4">
        <item x="1"/>
        <item x="2"/>
        <item x="0"/>
        <item t="default"/>
      </items>
    </pivotField>
  </pivotFields>
  <rowItems count="1">
    <i/>
  </rowItems>
  <colFields count="1">
    <field x="-2"/>
  </colFields>
  <colItems count="2">
    <i>
      <x/>
    </i>
    <i i="1">
      <x v="1"/>
    </i>
  </colItems>
  <dataFields count="2">
    <dataField name="Sum of Revenue" fld="7" baseField="0" baseItem="0"/>
    <dataField name="Average of Unit Price" fld="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B0EA9-1B8B-4F81-BF6F-1D137A721B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C35" firstHeaderRow="0" firstDataRow="1" firstDataCol="1"/>
  <pivotFields count="12">
    <pivotField numFmtId="164" showAll="0"/>
    <pivotField showAll="0">
      <items count="11">
        <item x="9"/>
        <item x="3"/>
        <item x="7"/>
        <item x="0"/>
        <item x="5"/>
        <item x="1"/>
        <item x="8"/>
        <item x="6"/>
        <item x="2"/>
        <item x="4"/>
        <item t="default"/>
      </items>
    </pivotField>
    <pivotField showAll="0"/>
    <pivotField axis="axisRow" showAll="0">
      <items count="7">
        <item x="3"/>
        <item x="2"/>
        <item x="0"/>
        <item x="5"/>
        <item x="1"/>
        <item x="4"/>
        <item t="default"/>
      </items>
    </pivotField>
    <pivotField showAll="0"/>
    <pivotField dataField="1" showAll="0"/>
    <pivotField showAll="0"/>
    <pivotField dataField="1" showAll="0"/>
    <pivotField showAll="0"/>
    <pivotField showAll="0"/>
    <pivotField showAll="0"/>
    <pivotField showAll="0">
      <items count="4">
        <item x="1"/>
        <item x="2"/>
        <item x="0"/>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Revenue" fld="7" baseField="0" baseItem="0"/>
    <dataField name="Sum of Quantity"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512239-8855-459C-A78D-8F50893BA4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6" firstHeaderRow="1" firstDataRow="1" firstDataCol="1"/>
  <pivotFields count="12">
    <pivotField numFmtId="164" showAll="0"/>
    <pivotField showAll="0">
      <items count="11">
        <item x="9"/>
        <item x="3"/>
        <item x="7"/>
        <item x="0"/>
        <item x="5"/>
        <item x="1"/>
        <item x="8"/>
        <item x="6"/>
        <item x="2"/>
        <item x="4"/>
        <item t="default"/>
      </items>
    </pivotField>
    <pivotField showAll="0"/>
    <pivotField showAll="0"/>
    <pivotField axis="axisRow" showAll="0">
      <items count="8">
        <item x="5"/>
        <item x="4"/>
        <item x="2"/>
        <item x="1"/>
        <item x="6"/>
        <item x="3"/>
        <item x="0"/>
        <item t="default"/>
      </items>
    </pivotField>
    <pivotField showAll="0"/>
    <pivotField showAll="0"/>
    <pivotField dataField="1" showAll="0"/>
    <pivotField showAll="0"/>
    <pivotField showAll="0"/>
    <pivotField showAll="0"/>
    <pivotField showAll="0">
      <items count="4">
        <item x="1"/>
        <item x="2"/>
        <item x="0"/>
        <item t="default"/>
      </items>
    </pivotField>
  </pivotFields>
  <rowFields count="1">
    <field x="4"/>
  </rowFields>
  <rowItems count="8">
    <i>
      <x/>
    </i>
    <i>
      <x v="1"/>
    </i>
    <i>
      <x v="2"/>
    </i>
    <i>
      <x v="3"/>
    </i>
    <i>
      <x v="4"/>
    </i>
    <i>
      <x v="5"/>
    </i>
    <i>
      <x v="6"/>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C66A052-DD82-4430-8432-D6C3345B0087}" sourceName="Month">
  <pivotTables>
    <pivotTable tabId="2" name="PivotTable1"/>
    <pivotTable tabId="2" name="PivotTable2"/>
    <pivotTable tabId="2" name="PivotTable3"/>
    <pivotTable tabId="2" name="PivotTable4"/>
  </pivotTables>
  <data>
    <tabular pivotCacheId="558165596">
      <items count="10">
        <i x="9" s="1"/>
        <i x="3" s="1"/>
        <i x="7" s="1"/>
        <i x="0" s="1"/>
        <i x="5" s="1"/>
        <i x="1" s="1"/>
        <i x="8" s="1"/>
        <i x="6"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sted" xr10:uid="{8C2EB796-FE4E-4E5C-973B-9A090673F01D}" sourceName="nested ">
  <pivotTables>
    <pivotTable tabId="2" name="PivotTable1"/>
    <pivotTable tabId="2" name="PivotTable2"/>
    <pivotTable tabId="2" name="PivotTable3"/>
    <pivotTable tabId="2" name="PivotTable4"/>
  </pivotTables>
  <data>
    <tabular pivotCacheId="55816559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4E15BD2-3889-440D-AAD6-DB08843266F9}" cache="Slicer_Month" caption="Month" columnCount="4" rowHeight="234950"/>
  <slicer name="nested " xr10:uid="{54B36882-0674-4863-9CD5-FA012CB9B139}" cache="Slicer_nested" caption="nested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01" totalsRowShown="0">
  <tableColumns count="12">
    <tableColumn id="1" xr3:uid="{00000000-0010-0000-0000-000001000000}" name="Date" dataDxfId="11"/>
    <tableColumn id="12" xr3:uid="{98FA3C77-4B97-4CED-96AD-239A861B88E5}" name="Month" dataDxfId="10">
      <calculatedColumnFormula>TEXT(Table1[[#This Row],[Date]],"mmm")</calculatedColumnFormula>
    </tableColumn>
    <tableColumn id="2" xr3:uid="{00000000-0010-0000-0000-000002000000}" name="Region" dataDxfId="9"/>
    <tableColumn id="3" xr3:uid="{00000000-0010-0000-0000-000003000000}" name="Salesperson" dataDxfId="8"/>
    <tableColumn id="4" xr3:uid="{00000000-0010-0000-0000-000004000000}" name="Product" dataDxfId="7"/>
    <tableColumn id="5" xr3:uid="{00000000-0010-0000-0000-000005000000}" name="Quantity" dataDxfId="6"/>
    <tableColumn id="6" xr3:uid="{00000000-0010-0000-0000-000006000000}" name="Unit Price" dataDxfId="5"/>
    <tableColumn id="7" xr3:uid="{00000000-0010-0000-0000-000007000000}" name="Revenue" dataDxfId="4"/>
    <tableColumn id="8" xr3:uid="{00000000-0010-0000-0000-000008000000}" name="High Sale" dataDxfId="3"/>
    <tableColumn id="9" xr3:uid="{00000000-0010-0000-0000-000009000000}" name="VLOOKUP" dataDxfId="2">
      <calculatedColumnFormula>F2*G2</calculatedColumnFormula>
    </tableColumn>
    <tableColumn id="10" xr3:uid="{00000000-0010-0000-0000-00000A000000}" name="HIGH sales" dataDxfId="1">
      <calculatedColumnFormula>IF(H2&gt;200000,"Yes","No")</calculatedColumnFormula>
    </tableColumn>
    <tableColumn id="11" xr3:uid="{00000000-0010-0000-0000-00000B000000}" name="nested " dataDxfId="0">
      <calculatedColumnFormula>IF(H2&gt;500000,"Premium",IF(H2&gt;200000,"Standard","Low"))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86997-5D46-4FB4-A96D-A252A83D711A}">
  <dimension ref="A3:C35"/>
  <sheetViews>
    <sheetView workbookViewId="0">
      <selection activeCell="H11" sqref="H11"/>
    </sheetView>
  </sheetViews>
  <sheetFormatPr defaultRowHeight="15"/>
  <cols>
    <col min="1" max="1" width="12.5703125" bestFit="1" customWidth="1"/>
    <col min="2" max="3" width="14.85546875" bestFit="1" customWidth="1"/>
    <col min="4" max="14" width="18.85546875" bestFit="1" customWidth="1"/>
    <col min="15" max="15" width="19.7109375" bestFit="1" customWidth="1"/>
    <col min="16" max="16" width="23.7109375" bestFit="1" customWidth="1"/>
  </cols>
  <sheetData>
    <row r="3" spans="1:2">
      <c r="A3" t="s">
        <v>30</v>
      </c>
      <c r="B3" t="s">
        <v>31</v>
      </c>
    </row>
    <row r="4" spans="1:2">
      <c r="A4">
        <v>19986288.421052631</v>
      </c>
      <c r="B4">
        <v>22669.77</v>
      </c>
    </row>
    <row r="7" spans="1:2">
      <c r="A7" s="5" t="s">
        <v>32</v>
      </c>
      <c r="B7" t="s">
        <v>30</v>
      </c>
    </row>
    <row r="8" spans="1:2">
      <c r="A8" s="6" t="s">
        <v>11</v>
      </c>
      <c r="B8">
        <v>3662587</v>
      </c>
    </row>
    <row r="9" spans="1:2">
      <c r="A9" s="6" t="s">
        <v>17</v>
      </c>
      <c r="B9">
        <v>4139391</v>
      </c>
    </row>
    <row r="10" spans="1:2">
      <c r="A10" s="6" t="s">
        <v>24</v>
      </c>
      <c r="B10">
        <v>6409902.652631578</v>
      </c>
    </row>
    <row r="11" spans="1:2">
      <c r="A11" s="6" t="s">
        <v>15</v>
      </c>
      <c r="B11">
        <v>5774407.768421052</v>
      </c>
    </row>
    <row r="12" spans="1:2">
      <c r="A12" s="6" t="s">
        <v>33</v>
      </c>
      <c r="B12">
        <v>19986288.421052627</v>
      </c>
    </row>
    <row r="18" spans="1:3">
      <c r="A18" s="5" t="s">
        <v>32</v>
      </c>
      <c r="B18" t="s">
        <v>30</v>
      </c>
    </row>
    <row r="19" spans="1:3">
      <c r="A19" s="6" t="s">
        <v>27</v>
      </c>
      <c r="B19">
        <v>1664014</v>
      </c>
    </row>
    <row r="20" spans="1:3">
      <c r="A20" s="6" t="s">
        <v>23</v>
      </c>
      <c r="B20">
        <v>2350555.884210526</v>
      </c>
    </row>
    <row r="21" spans="1:3">
      <c r="A21" s="6" t="s">
        <v>19</v>
      </c>
      <c r="B21">
        <v>4310207.652631578</v>
      </c>
    </row>
    <row r="22" spans="1:3">
      <c r="A22" s="6" t="s">
        <v>16</v>
      </c>
      <c r="B22">
        <v>2643121.884210526</v>
      </c>
    </row>
    <row r="23" spans="1:3">
      <c r="A23" s="6" t="s">
        <v>28</v>
      </c>
      <c r="B23">
        <v>2996802</v>
      </c>
    </row>
    <row r="24" spans="1:3">
      <c r="A24" s="6" t="s">
        <v>21</v>
      </c>
      <c r="B24">
        <v>3396068</v>
      </c>
    </row>
    <row r="25" spans="1:3">
      <c r="A25" s="6" t="s">
        <v>13</v>
      </c>
      <c r="B25">
        <v>2625519</v>
      </c>
    </row>
    <row r="26" spans="1:3">
      <c r="A26" s="6" t="s">
        <v>33</v>
      </c>
      <c r="B26">
        <v>19986288.421052631</v>
      </c>
    </row>
    <row r="28" spans="1:3">
      <c r="A28" s="5" t="s">
        <v>32</v>
      </c>
      <c r="B28" t="s">
        <v>30</v>
      </c>
      <c r="C28" t="s">
        <v>34</v>
      </c>
    </row>
    <row r="29" spans="1:3">
      <c r="A29" s="6" t="s">
        <v>25</v>
      </c>
      <c r="B29">
        <v>2518354.652631578</v>
      </c>
      <c r="C29">
        <v>147</v>
      </c>
    </row>
    <row r="30" spans="1:3">
      <c r="A30" s="6" t="s">
        <v>22</v>
      </c>
      <c r="B30">
        <v>3155376.884210526</v>
      </c>
      <c r="C30">
        <v>141</v>
      </c>
    </row>
    <row r="31" spans="1:3">
      <c r="A31" s="6" t="s">
        <v>12</v>
      </c>
      <c r="B31">
        <v>2044706</v>
      </c>
      <c r="C31">
        <v>127</v>
      </c>
    </row>
    <row r="32" spans="1:3">
      <c r="A32" s="6" t="s">
        <v>29</v>
      </c>
      <c r="B32">
        <v>4517820</v>
      </c>
      <c r="C32">
        <v>172</v>
      </c>
    </row>
    <row r="33" spans="1:3">
      <c r="A33" s="6" t="s">
        <v>18</v>
      </c>
      <c r="B33">
        <v>3743153</v>
      </c>
      <c r="C33">
        <v>181</v>
      </c>
    </row>
    <row r="34" spans="1:3">
      <c r="A34" s="6" t="s">
        <v>26</v>
      </c>
      <c r="B34">
        <v>4006877.884210526</v>
      </c>
      <c r="C34">
        <v>162</v>
      </c>
    </row>
    <row r="35" spans="1:3">
      <c r="A35" s="6" t="s">
        <v>33</v>
      </c>
      <c r="B35">
        <v>19986288.421052631</v>
      </c>
      <c r="C35">
        <v>930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9CD2-AA21-4396-B52B-A2E9A001FF4D}">
  <dimension ref="A1:G104"/>
  <sheetViews>
    <sheetView tabSelected="1" workbookViewId="0">
      <selection activeCell="I17" sqref="I17"/>
    </sheetView>
  </sheetViews>
  <sheetFormatPr defaultRowHeight="15"/>
  <cols>
    <col min="1" max="1" width="10.7109375" style="1" bestFit="1" customWidth="1"/>
  </cols>
  <sheetData>
    <row r="1" spans="1:7">
      <c r="A1" s="9" t="s">
        <v>0</v>
      </c>
      <c r="B1" s="8" t="s">
        <v>1</v>
      </c>
      <c r="C1" s="8" t="s">
        <v>2</v>
      </c>
      <c r="D1" s="8" t="s">
        <v>3</v>
      </c>
      <c r="E1" s="8" t="s">
        <v>4</v>
      </c>
      <c r="F1" s="8" t="s">
        <v>5</v>
      </c>
      <c r="G1" s="8" t="s">
        <v>6</v>
      </c>
    </row>
    <row r="2" spans="1:7">
      <c r="A2" s="10">
        <v>45769</v>
      </c>
      <c r="B2" s="7" t="s">
        <v>11</v>
      </c>
      <c r="C2" s="7" t="s">
        <v>12</v>
      </c>
      <c r="D2" s="7" t="s">
        <v>13</v>
      </c>
      <c r="E2" s="7">
        <v>11</v>
      </c>
      <c r="F2" s="7">
        <v>30592</v>
      </c>
      <c r="G2" s="7">
        <v>336512</v>
      </c>
    </row>
    <row r="3" spans="1:7">
      <c r="A3" s="10">
        <v>45832</v>
      </c>
      <c r="B3" s="7" t="s">
        <v>15</v>
      </c>
      <c r="C3" s="7" t="s">
        <v>12</v>
      </c>
      <c r="D3" s="7" t="s">
        <v>16</v>
      </c>
      <c r="E3" s="7">
        <v>18</v>
      </c>
      <c r="F3" s="7">
        <v>11647</v>
      </c>
      <c r="G3" s="7">
        <v>209646</v>
      </c>
    </row>
    <row r="4" spans="1:7">
      <c r="A4" s="10">
        <v>45918</v>
      </c>
      <c r="B4" s="7" t="s">
        <v>17</v>
      </c>
      <c r="C4" s="7" t="s">
        <v>18</v>
      </c>
      <c r="D4" s="7" t="s">
        <v>19</v>
      </c>
      <c r="E4" s="7">
        <v>10</v>
      </c>
      <c r="F4" s="7">
        <v>9716</v>
      </c>
      <c r="G4" s="7">
        <v>97160</v>
      </c>
    </row>
    <row r="5" spans="1:7">
      <c r="A5" s="10">
        <v>45715</v>
      </c>
      <c r="B5" s="7" t="s">
        <v>11</v>
      </c>
      <c r="C5" s="7" t="s">
        <v>12</v>
      </c>
      <c r="D5" s="7" t="s">
        <v>13</v>
      </c>
      <c r="E5" s="7">
        <v>3</v>
      </c>
      <c r="F5" s="7">
        <v>24355</v>
      </c>
      <c r="G5" s="7">
        <v>73065</v>
      </c>
    </row>
    <row r="6" spans="1:7">
      <c r="A6" s="10">
        <v>45942</v>
      </c>
      <c r="B6" s="7" t="s">
        <v>11</v>
      </c>
      <c r="C6" s="7" t="s">
        <v>12</v>
      </c>
      <c r="D6" s="7" t="s">
        <v>21</v>
      </c>
      <c r="E6" s="7">
        <v>7</v>
      </c>
      <c r="F6" s="7">
        <v>23009</v>
      </c>
      <c r="G6" s="7">
        <v>161063</v>
      </c>
    </row>
    <row r="7" spans="1:7">
      <c r="A7" s="10">
        <v>45783</v>
      </c>
      <c r="B7" s="7" t="s">
        <v>15</v>
      </c>
      <c r="C7" s="7" t="s">
        <v>22</v>
      </c>
      <c r="D7" s="7" t="s">
        <v>19</v>
      </c>
      <c r="E7" s="7">
        <v>16</v>
      </c>
      <c r="F7" s="7">
        <v>25376</v>
      </c>
      <c r="G7" s="7">
        <v>406016</v>
      </c>
    </row>
    <row r="8" spans="1:7">
      <c r="A8" s="10">
        <v>45769</v>
      </c>
      <c r="B8" s="7" t="s">
        <v>17</v>
      </c>
      <c r="C8" s="7" t="s">
        <v>18</v>
      </c>
      <c r="D8" s="7" t="s">
        <v>19</v>
      </c>
      <c r="E8" s="7">
        <v>16</v>
      </c>
      <c r="F8" s="7">
        <v>46091</v>
      </c>
      <c r="G8" s="7">
        <v>737456</v>
      </c>
    </row>
    <row r="9" spans="1:7">
      <c r="A9" s="10">
        <v>45888</v>
      </c>
      <c r="B9" s="7" t="s">
        <v>17</v>
      </c>
      <c r="C9" s="7" t="s">
        <v>22</v>
      </c>
      <c r="D9" s="7" t="s">
        <v>19</v>
      </c>
      <c r="E9" s="7">
        <v>17</v>
      </c>
      <c r="F9" s="7">
        <v>5780</v>
      </c>
      <c r="G9" s="7">
        <v>98260</v>
      </c>
    </row>
    <row r="10" spans="1:7">
      <c r="A10" s="10">
        <v>45738</v>
      </c>
      <c r="B10" s="7" t="s">
        <v>11</v>
      </c>
      <c r="C10" s="7" t="s">
        <v>22</v>
      </c>
      <c r="D10" s="7" t="s">
        <v>23</v>
      </c>
      <c r="E10" s="7">
        <v>2</v>
      </c>
      <c r="F10" s="7">
        <v>3368</v>
      </c>
      <c r="G10" s="7">
        <v>6736</v>
      </c>
    </row>
    <row r="11" spans="1:7">
      <c r="A11" s="10">
        <v>45856</v>
      </c>
      <c r="B11" s="7" t="s">
        <v>24</v>
      </c>
      <c r="C11" s="7" t="s">
        <v>18</v>
      </c>
      <c r="D11" s="7" t="s">
        <v>21</v>
      </c>
      <c r="E11" s="7">
        <v>1</v>
      </c>
      <c r="F11" s="7">
        <v>13039</v>
      </c>
      <c r="G11" s="7">
        <v>13039</v>
      </c>
    </row>
    <row r="12" spans="1:7">
      <c r="A12" s="10">
        <v>45812</v>
      </c>
      <c r="B12" s="7" t="s">
        <v>11</v>
      </c>
      <c r="C12" s="7" t="s">
        <v>25</v>
      </c>
      <c r="D12" s="7" t="s">
        <v>19</v>
      </c>
      <c r="E12" s="7">
        <v>16</v>
      </c>
      <c r="F12" s="7">
        <v>7655</v>
      </c>
      <c r="G12" s="7">
        <v>122480</v>
      </c>
    </row>
    <row r="13" spans="1:7">
      <c r="A13" s="10">
        <v>45896</v>
      </c>
      <c r="B13" s="7" t="s">
        <v>11</v>
      </c>
      <c r="C13" s="7" t="s">
        <v>22</v>
      </c>
      <c r="D13" s="7" t="s">
        <v>16</v>
      </c>
      <c r="E13" s="7">
        <v>12</v>
      </c>
      <c r="F13" s="7">
        <v>41941</v>
      </c>
      <c r="G13" s="7">
        <v>503292</v>
      </c>
    </row>
    <row r="14" spans="1:7">
      <c r="A14" s="10">
        <v>45927</v>
      </c>
      <c r="B14" s="7" t="s">
        <v>11</v>
      </c>
      <c r="C14" s="7" t="s">
        <v>26</v>
      </c>
      <c r="D14" s="7" t="s">
        <v>27</v>
      </c>
      <c r="E14" s="7">
        <v>5</v>
      </c>
      <c r="F14" s="7">
        <v>5495</v>
      </c>
      <c r="G14" s="7">
        <v>27475</v>
      </c>
    </row>
    <row r="15" spans="1:7">
      <c r="A15" s="10">
        <v>45928</v>
      </c>
      <c r="B15" s="7" t="s">
        <v>11</v>
      </c>
      <c r="C15" s="7" t="s">
        <v>26</v>
      </c>
      <c r="D15" s="7" t="s">
        <v>19</v>
      </c>
      <c r="E15" s="7">
        <v>5</v>
      </c>
      <c r="F15" s="7">
        <v>11893</v>
      </c>
      <c r="G15" s="7">
        <v>59465</v>
      </c>
    </row>
    <row r="16" spans="1:7">
      <c r="A16" s="10">
        <v>45950</v>
      </c>
      <c r="B16" s="7" t="s">
        <v>15</v>
      </c>
      <c r="C16" s="7" t="s">
        <v>12</v>
      </c>
      <c r="D16" s="7" t="s">
        <v>23</v>
      </c>
      <c r="E16" s="7">
        <v>9</v>
      </c>
      <c r="F16" s="7">
        <v>26547</v>
      </c>
      <c r="G16" s="7">
        <v>238923</v>
      </c>
    </row>
    <row r="17" spans="1:7">
      <c r="A17" s="10">
        <v>45668</v>
      </c>
      <c r="B17" s="7" t="s">
        <v>17</v>
      </c>
      <c r="C17" s="7" t="s">
        <v>26</v>
      </c>
      <c r="D17" s="7" t="s">
        <v>13</v>
      </c>
      <c r="E17" s="7">
        <v>9</v>
      </c>
      <c r="F17" s="7">
        <v>23386</v>
      </c>
      <c r="G17" s="7">
        <v>210474</v>
      </c>
    </row>
    <row r="18" spans="1:7">
      <c r="A18" s="10">
        <v>45852</v>
      </c>
      <c r="B18" s="7" t="s">
        <v>15</v>
      </c>
      <c r="C18" s="7" t="s">
        <v>12</v>
      </c>
      <c r="D18" s="7" t="s">
        <v>21</v>
      </c>
      <c r="E18" s="7">
        <v>3</v>
      </c>
      <c r="F18" s="7">
        <v>14403</v>
      </c>
      <c r="G18" s="7">
        <v>43209</v>
      </c>
    </row>
    <row r="19" spans="1:7">
      <c r="A19" s="10">
        <v>45774</v>
      </c>
      <c r="B19" s="7" t="s">
        <v>15</v>
      </c>
      <c r="C19" s="7" t="s">
        <v>25</v>
      </c>
      <c r="D19" s="7" t="s">
        <v>23</v>
      </c>
      <c r="E19" s="7">
        <v>19</v>
      </c>
      <c r="F19" s="7">
        <v>33097</v>
      </c>
      <c r="G19" s="7"/>
    </row>
    <row r="20" spans="1:7">
      <c r="A20" s="10">
        <v>45785</v>
      </c>
      <c r="B20" s="7" t="s">
        <v>15</v>
      </c>
      <c r="C20" s="7" t="s">
        <v>18</v>
      </c>
      <c r="D20" s="7" t="s">
        <v>19</v>
      </c>
      <c r="E20" s="7">
        <v>16</v>
      </c>
      <c r="F20" s="7">
        <v>14121</v>
      </c>
      <c r="G20" s="7">
        <v>225936</v>
      </c>
    </row>
    <row r="21" spans="1:7">
      <c r="A21" s="10">
        <v>45914</v>
      </c>
      <c r="B21" s="7" t="s">
        <v>11</v>
      </c>
      <c r="C21" s="7" t="s">
        <v>18</v>
      </c>
      <c r="D21" s="7" t="s">
        <v>21</v>
      </c>
      <c r="E21" s="7">
        <v>16</v>
      </c>
      <c r="F21" s="7">
        <v>11966</v>
      </c>
      <c r="G21" s="7">
        <v>191456</v>
      </c>
    </row>
    <row r="22" spans="1:7">
      <c r="A22" s="10">
        <v>45666</v>
      </c>
      <c r="B22" s="7" t="s">
        <v>24</v>
      </c>
      <c r="C22" s="7" t="s">
        <v>18</v>
      </c>
      <c r="D22" s="7" t="s">
        <v>27</v>
      </c>
      <c r="E22" s="7">
        <v>3</v>
      </c>
      <c r="F22" s="7">
        <v>34621</v>
      </c>
      <c r="G22" s="7">
        <v>103863</v>
      </c>
    </row>
    <row r="23" spans="1:7">
      <c r="A23" s="10">
        <v>45754</v>
      </c>
      <c r="B23" s="7" t="s">
        <v>17</v>
      </c>
      <c r="C23" s="7" t="s">
        <v>26</v>
      </c>
      <c r="D23" s="7" t="s">
        <v>19</v>
      </c>
      <c r="E23" s="7">
        <v>1</v>
      </c>
      <c r="F23" s="7">
        <v>29312</v>
      </c>
      <c r="G23" s="7">
        <v>29312</v>
      </c>
    </row>
    <row r="24" spans="1:7">
      <c r="A24" s="10">
        <v>45758</v>
      </c>
      <c r="B24" s="7" t="s">
        <v>24</v>
      </c>
      <c r="C24" s="7" t="s">
        <v>25</v>
      </c>
      <c r="D24" s="7" t="s">
        <v>23</v>
      </c>
      <c r="E24" s="7">
        <v>11</v>
      </c>
      <c r="F24" s="7">
        <v>23677</v>
      </c>
      <c r="G24" s="7">
        <v>260447</v>
      </c>
    </row>
    <row r="25" spans="1:7">
      <c r="A25" s="10">
        <v>45702</v>
      </c>
      <c r="B25" s="7" t="s">
        <v>15</v>
      </c>
      <c r="C25" s="7" t="s">
        <v>26</v>
      </c>
      <c r="D25" s="7" t="s">
        <v>28</v>
      </c>
      <c r="E25" s="7">
        <v>17</v>
      </c>
      <c r="F25" s="7">
        <v>32289</v>
      </c>
      <c r="G25" s="7">
        <v>548913</v>
      </c>
    </row>
    <row r="26" spans="1:7">
      <c r="A26" s="10">
        <v>45872</v>
      </c>
      <c r="B26" s="7" t="s">
        <v>15</v>
      </c>
      <c r="C26" s="7" t="s">
        <v>26</v>
      </c>
      <c r="D26" s="7" t="s">
        <v>16</v>
      </c>
      <c r="E26" s="7">
        <v>8</v>
      </c>
      <c r="F26" s="7">
        <v>32024</v>
      </c>
      <c r="G26" s="7">
        <v>256192</v>
      </c>
    </row>
    <row r="27" spans="1:7">
      <c r="A27" s="10">
        <v>45937</v>
      </c>
      <c r="B27" s="7" t="s">
        <v>24</v>
      </c>
      <c r="C27" s="7" t="s">
        <v>25</v>
      </c>
      <c r="D27" s="7" t="s">
        <v>13</v>
      </c>
      <c r="E27" s="7">
        <v>4</v>
      </c>
      <c r="F27" s="7">
        <v>43675</v>
      </c>
      <c r="G27" s="7">
        <v>174700</v>
      </c>
    </row>
    <row r="28" spans="1:7">
      <c r="A28" s="10">
        <v>45840</v>
      </c>
      <c r="B28" s="7" t="s">
        <v>24</v>
      </c>
      <c r="C28" s="7" t="s">
        <v>25</v>
      </c>
      <c r="D28" s="7" t="s">
        <v>23</v>
      </c>
      <c r="E28" s="7">
        <v>6</v>
      </c>
      <c r="F28" s="7">
        <v>5777</v>
      </c>
      <c r="G28" s="7">
        <v>34662</v>
      </c>
    </row>
    <row r="29" spans="1:7">
      <c r="A29" s="10">
        <v>45780</v>
      </c>
      <c r="B29" s="7" t="s">
        <v>24</v>
      </c>
      <c r="C29" s="7" t="s">
        <v>25</v>
      </c>
      <c r="D29" s="7" t="s">
        <v>21</v>
      </c>
      <c r="E29" s="7">
        <v>8</v>
      </c>
      <c r="F29" s="7">
        <v>30749</v>
      </c>
      <c r="G29" s="7">
        <v>245992</v>
      </c>
    </row>
    <row r="30" spans="1:7">
      <c r="A30" s="10">
        <v>45750</v>
      </c>
      <c r="B30" s="7" t="s">
        <v>15</v>
      </c>
      <c r="C30" s="7" t="s">
        <v>25</v>
      </c>
      <c r="D30" s="7" t="s">
        <v>19</v>
      </c>
      <c r="E30" s="7">
        <v>3</v>
      </c>
      <c r="F30" s="7">
        <v>16338</v>
      </c>
      <c r="G30" s="7">
        <v>49014</v>
      </c>
    </row>
    <row r="31" spans="1:7">
      <c r="A31" s="10">
        <v>45749</v>
      </c>
      <c r="B31" s="7" t="s">
        <v>15</v>
      </c>
      <c r="C31" s="7" t="s">
        <v>18</v>
      </c>
      <c r="D31" s="7" t="s">
        <v>16</v>
      </c>
      <c r="E31" s="7">
        <v>16</v>
      </c>
      <c r="F31" s="7">
        <v>3491</v>
      </c>
      <c r="G31" s="7">
        <v>55856</v>
      </c>
    </row>
    <row r="32" spans="1:7">
      <c r="A32" s="10">
        <v>45925</v>
      </c>
      <c r="B32" s="7" t="s">
        <v>17</v>
      </c>
      <c r="C32" s="7" t="s">
        <v>29</v>
      </c>
      <c r="D32" s="7" t="s">
        <v>19</v>
      </c>
      <c r="E32" s="7">
        <v>3</v>
      </c>
      <c r="F32" s="7">
        <v>28236</v>
      </c>
      <c r="G32" s="7">
        <v>84708</v>
      </c>
    </row>
    <row r="33" spans="1:7">
      <c r="A33" s="10">
        <v>45707</v>
      </c>
      <c r="B33" s="7" t="s">
        <v>17</v>
      </c>
      <c r="C33" s="7" t="s">
        <v>29</v>
      </c>
      <c r="D33" s="7" t="s">
        <v>21</v>
      </c>
      <c r="E33" s="7">
        <v>18</v>
      </c>
      <c r="F33" s="7">
        <v>49096</v>
      </c>
      <c r="G33" s="7">
        <v>883728</v>
      </c>
    </row>
    <row r="34" spans="1:7">
      <c r="A34" s="10">
        <v>45863</v>
      </c>
      <c r="B34" s="7" t="s">
        <v>15</v>
      </c>
      <c r="C34" s="7" t="s">
        <v>25</v>
      </c>
      <c r="D34" s="7" t="s">
        <v>19</v>
      </c>
      <c r="E34" s="7">
        <v>14</v>
      </c>
      <c r="F34" s="7">
        <v>15599</v>
      </c>
      <c r="G34" s="7">
        <v>218386</v>
      </c>
    </row>
    <row r="35" spans="1:7">
      <c r="A35" s="10">
        <v>45940</v>
      </c>
      <c r="B35" s="7" t="s">
        <v>24</v>
      </c>
      <c r="C35" s="7" t="s">
        <v>29</v>
      </c>
      <c r="D35" s="7" t="s">
        <v>28</v>
      </c>
      <c r="E35" s="7">
        <v>18</v>
      </c>
      <c r="F35" s="7">
        <v>20508</v>
      </c>
      <c r="G35" s="7">
        <v>369144</v>
      </c>
    </row>
    <row r="36" spans="1:7">
      <c r="A36" s="10">
        <v>45919</v>
      </c>
      <c r="B36" s="7" t="s">
        <v>24</v>
      </c>
      <c r="C36" s="7" t="s">
        <v>29</v>
      </c>
      <c r="D36" s="7" t="s">
        <v>16</v>
      </c>
      <c r="E36" s="7">
        <v>2</v>
      </c>
      <c r="F36" s="7">
        <v>4051</v>
      </c>
      <c r="G36" s="7">
        <v>8102</v>
      </c>
    </row>
    <row r="37" spans="1:7">
      <c r="A37" s="10">
        <v>45839</v>
      </c>
      <c r="B37" s="7" t="s">
        <v>17</v>
      </c>
      <c r="C37" s="7" t="s">
        <v>25</v>
      </c>
      <c r="D37" s="7" t="s">
        <v>16</v>
      </c>
      <c r="E37" s="7">
        <v>3</v>
      </c>
      <c r="F37" s="7">
        <v>49747</v>
      </c>
      <c r="G37" s="7">
        <v>149241</v>
      </c>
    </row>
    <row r="38" spans="1:7">
      <c r="A38" s="10">
        <v>45857</v>
      </c>
      <c r="B38" s="7" t="s">
        <v>15</v>
      </c>
      <c r="C38" s="7" t="s">
        <v>29</v>
      </c>
      <c r="D38" s="7" t="s">
        <v>21</v>
      </c>
      <c r="E38" s="7">
        <v>16</v>
      </c>
      <c r="F38" s="7">
        <v>22606</v>
      </c>
      <c r="G38" s="7">
        <v>361696</v>
      </c>
    </row>
    <row r="39" spans="1:7">
      <c r="A39" s="10">
        <v>45750</v>
      </c>
      <c r="B39" s="7" t="s">
        <v>17</v>
      </c>
      <c r="C39" s="7" t="s">
        <v>26</v>
      </c>
      <c r="D39" s="7" t="s">
        <v>13</v>
      </c>
      <c r="E39" s="7">
        <v>9</v>
      </c>
      <c r="F39" s="7">
        <v>22699</v>
      </c>
      <c r="G39" s="7">
        <v>204291</v>
      </c>
    </row>
    <row r="40" spans="1:7">
      <c r="A40" s="10">
        <v>45885</v>
      </c>
      <c r="B40" s="7" t="s">
        <v>17</v>
      </c>
      <c r="C40" s="7" t="s">
        <v>12</v>
      </c>
      <c r="D40" s="7" t="s">
        <v>28</v>
      </c>
      <c r="E40" s="7">
        <v>4</v>
      </c>
      <c r="F40" s="7">
        <v>1876</v>
      </c>
      <c r="G40" s="7">
        <v>7504</v>
      </c>
    </row>
    <row r="41" spans="1:7">
      <c r="A41" s="10">
        <v>45736</v>
      </c>
      <c r="B41" s="7" t="s">
        <v>11</v>
      </c>
      <c r="C41" s="7" t="s">
        <v>12</v>
      </c>
      <c r="D41" s="7" t="s">
        <v>23</v>
      </c>
      <c r="E41" s="7">
        <v>1</v>
      </c>
      <c r="F41" s="7">
        <v>33093</v>
      </c>
      <c r="G41" s="7">
        <v>33093</v>
      </c>
    </row>
    <row r="42" spans="1:7">
      <c r="A42" s="10">
        <v>45672</v>
      </c>
      <c r="B42" s="7" t="s">
        <v>11</v>
      </c>
      <c r="C42" s="7" t="s">
        <v>25</v>
      </c>
      <c r="D42" s="7" t="s">
        <v>19</v>
      </c>
      <c r="E42" s="7">
        <v>4</v>
      </c>
      <c r="F42" s="7">
        <v>5142</v>
      </c>
      <c r="G42" s="7">
        <v>20568</v>
      </c>
    </row>
    <row r="43" spans="1:7">
      <c r="A43" s="10">
        <v>45810</v>
      </c>
      <c r="B43" s="7" t="s">
        <v>11</v>
      </c>
      <c r="C43" s="7" t="s">
        <v>18</v>
      </c>
      <c r="D43" s="7" t="s">
        <v>27</v>
      </c>
      <c r="E43" s="7">
        <v>1</v>
      </c>
      <c r="F43" s="7">
        <v>16202</v>
      </c>
      <c r="G43" s="7">
        <v>16202</v>
      </c>
    </row>
    <row r="44" spans="1:7">
      <c r="A44" s="10">
        <v>45713</v>
      </c>
      <c r="B44" s="7" t="s">
        <v>24</v>
      </c>
      <c r="C44" s="7" t="s">
        <v>25</v>
      </c>
      <c r="D44" s="7" t="s">
        <v>19</v>
      </c>
      <c r="E44" s="7">
        <v>14</v>
      </c>
      <c r="F44" s="7">
        <v>40734</v>
      </c>
      <c r="G44" s="7"/>
    </row>
    <row r="45" spans="1:7">
      <c r="A45" s="10">
        <v>45891</v>
      </c>
      <c r="B45" s="7" t="s">
        <v>15</v>
      </c>
      <c r="C45" s="7" t="s">
        <v>18</v>
      </c>
      <c r="D45" s="7" t="s">
        <v>19</v>
      </c>
      <c r="E45" s="7">
        <v>16</v>
      </c>
      <c r="F45" s="7">
        <v>8079</v>
      </c>
      <c r="G45" s="7">
        <v>129264</v>
      </c>
    </row>
    <row r="46" spans="1:7">
      <c r="A46" s="10">
        <v>45707</v>
      </c>
      <c r="B46" s="7" t="s">
        <v>15</v>
      </c>
      <c r="C46" s="7" t="s">
        <v>12</v>
      </c>
      <c r="D46" s="7" t="s">
        <v>23</v>
      </c>
      <c r="E46" s="7">
        <v>8</v>
      </c>
      <c r="F46" s="7">
        <v>8987</v>
      </c>
      <c r="G46" s="7">
        <v>71896</v>
      </c>
    </row>
    <row r="47" spans="1:7">
      <c r="A47" s="10">
        <v>45733</v>
      </c>
      <c r="B47" s="7" t="s">
        <v>15</v>
      </c>
      <c r="C47" s="7" t="s">
        <v>25</v>
      </c>
      <c r="D47" s="7" t="s">
        <v>19</v>
      </c>
      <c r="E47" s="7">
        <v>7</v>
      </c>
      <c r="F47" s="7">
        <v>40567</v>
      </c>
      <c r="G47" s="7"/>
    </row>
    <row r="48" spans="1:7">
      <c r="A48" s="10">
        <v>45779</v>
      </c>
      <c r="B48" s="7" t="s">
        <v>15</v>
      </c>
      <c r="C48" s="7" t="s">
        <v>22</v>
      </c>
      <c r="D48" s="7" t="s">
        <v>28</v>
      </c>
      <c r="E48" s="7">
        <v>3</v>
      </c>
      <c r="F48" s="7">
        <v>29940</v>
      </c>
      <c r="G48" s="7">
        <v>89820</v>
      </c>
    </row>
    <row r="49" spans="1:7">
      <c r="A49" s="10">
        <v>45832</v>
      </c>
      <c r="B49" s="7" t="s">
        <v>11</v>
      </c>
      <c r="C49" s="7" t="s">
        <v>26</v>
      </c>
      <c r="D49" s="7" t="s">
        <v>28</v>
      </c>
      <c r="E49" s="7">
        <v>17</v>
      </c>
      <c r="F49" s="7">
        <v>38233</v>
      </c>
      <c r="G49" s="7">
        <v>649961</v>
      </c>
    </row>
    <row r="50" spans="1:7">
      <c r="A50" s="10">
        <v>45909</v>
      </c>
      <c r="B50" s="7" t="s">
        <v>24</v>
      </c>
      <c r="C50" s="7" t="s">
        <v>29</v>
      </c>
      <c r="D50" s="7" t="s">
        <v>16</v>
      </c>
      <c r="E50" s="7">
        <v>1</v>
      </c>
      <c r="F50" s="7">
        <v>18019</v>
      </c>
      <c r="G50" s="7">
        <v>18019</v>
      </c>
    </row>
    <row r="51" spans="1:7">
      <c r="A51" s="10">
        <v>45696</v>
      </c>
      <c r="B51" s="7" t="s">
        <v>24</v>
      </c>
      <c r="C51" s="7" t="s">
        <v>18</v>
      </c>
      <c r="D51" s="7" t="s">
        <v>21</v>
      </c>
      <c r="E51" s="7">
        <v>16</v>
      </c>
      <c r="F51" s="7">
        <v>47185</v>
      </c>
      <c r="G51" s="7">
        <v>754960</v>
      </c>
    </row>
    <row r="52" spans="1:7">
      <c r="A52" s="10">
        <v>45835</v>
      </c>
      <c r="B52" s="7" t="s">
        <v>11</v>
      </c>
      <c r="C52" s="7" t="s">
        <v>22</v>
      </c>
      <c r="D52" s="7" t="s">
        <v>13</v>
      </c>
      <c r="E52" s="7">
        <v>12</v>
      </c>
      <c r="F52" s="7">
        <v>19077</v>
      </c>
      <c r="G52" s="7">
        <v>228924</v>
      </c>
    </row>
    <row r="53" spans="1:7">
      <c r="A53" s="10">
        <v>45684</v>
      </c>
      <c r="B53" s="7" t="s">
        <v>24</v>
      </c>
      <c r="C53" s="7" t="s">
        <v>29</v>
      </c>
      <c r="D53" s="7" t="s">
        <v>27</v>
      </c>
      <c r="E53" s="7">
        <v>19</v>
      </c>
      <c r="F53" s="7">
        <v>27258</v>
      </c>
      <c r="G53" s="7">
        <v>517902</v>
      </c>
    </row>
    <row r="54" spans="1:7">
      <c r="A54" s="10">
        <v>45956</v>
      </c>
      <c r="B54" s="7" t="s">
        <v>11</v>
      </c>
      <c r="C54" s="7" t="s">
        <v>29</v>
      </c>
      <c r="D54" s="7" t="s">
        <v>19</v>
      </c>
      <c r="E54" s="7">
        <v>14</v>
      </c>
      <c r="F54" s="7">
        <v>22136</v>
      </c>
      <c r="G54" s="7">
        <v>309904</v>
      </c>
    </row>
    <row r="55" spans="1:7">
      <c r="A55" s="10">
        <v>45916</v>
      </c>
      <c r="B55" s="7" t="s">
        <v>15</v>
      </c>
      <c r="C55" s="7" t="s">
        <v>25</v>
      </c>
      <c r="D55" s="7" t="s">
        <v>19</v>
      </c>
      <c r="E55" s="7">
        <v>6</v>
      </c>
      <c r="F55" s="7">
        <v>9311</v>
      </c>
      <c r="G55" s="7">
        <v>55866</v>
      </c>
    </row>
    <row r="56" spans="1:7">
      <c r="A56" s="10">
        <v>45681</v>
      </c>
      <c r="B56" s="7" t="s">
        <v>11</v>
      </c>
      <c r="C56" s="7" t="s">
        <v>29</v>
      </c>
      <c r="D56" s="7" t="s">
        <v>23</v>
      </c>
      <c r="E56" s="7">
        <v>6</v>
      </c>
      <c r="F56" s="7">
        <v>18214</v>
      </c>
      <c r="G56" s="7">
        <v>109284</v>
      </c>
    </row>
    <row r="57" spans="1:7">
      <c r="A57" s="10">
        <v>45896</v>
      </c>
      <c r="B57" s="7" t="s">
        <v>15</v>
      </c>
      <c r="C57" s="7" t="s">
        <v>26</v>
      </c>
      <c r="D57" s="7" t="s">
        <v>21</v>
      </c>
      <c r="E57" s="7">
        <v>13</v>
      </c>
      <c r="F57" s="7">
        <v>15098</v>
      </c>
      <c r="G57" s="7">
        <v>196274</v>
      </c>
    </row>
    <row r="58" spans="1:7">
      <c r="A58" s="10">
        <v>45766</v>
      </c>
      <c r="B58" s="7" t="s">
        <v>15</v>
      </c>
      <c r="C58" s="7" t="s">
        <v>22</v>
      </c>
      <c r="D58" s="7" t="s">
        <v>28</v>
      </c>
      <c r="E58" s="7">
        <v>19</v>
      </c>
      <c r="F58" s="7">
        <v>29251</v>
      </c>
      <c r="G58" s="7">
        <v>555769</v>
      </c>
    </row>
    <row r="59" spans="1:7">
      <c r="A59" s="10">
        <v>45797</v>
      </c>
      <c r="B59" s="7" t="s">
        <v>17</v>
      </c>
      <c r="C59" s="7" t="s">
        <v>29</v>
      </c>
      <c r="D59" s="7" t="s">
        <v>27</v>
      </c>
      <c r="E59" s="7">
        <v>8</v>
      </c>
      <c r="F59" s="7">
        <v>38945</v>
      </c>
      <c r="G59" s="7">
        <v>311560</v>
      </c>
    </row>
    <row r="60" spans="1:7">
      <c r="A60" s="10">
        <v>45820</v>
      </c>
      <c r="B60" s="7" t="s">
        <v>11</v>
      </c>
      <c r="C60" s="7" t="s">
        <v>25</v>
      </c>
      <c r="D60" s="7" t="s">
        <v>16</v>
      </c>
      <c r="E60" s="7">
        <v>2</v>
      </c>
      <c r="F60" s="7">
        <v>48030</v>
      </c>
      <c r="G60" s="7">
        <v>96060</v>
      </c>
    </row>
    <row r="61" spans="1:7">
      <c r="A61" s="10">
        <v>45699</v>
      </c>
      <c r="B61" s="7" t="s">
        <v>17</v>
      </c>
      <c r="C61" s="7" t="s">
        <v>26</v>
      </c>
      <c r="D61" s="7" t="s">
        <v>28</v>
      </c>
      <c r="E61" s="7">
        <v>1</v>
      </c>
      <c r="F61" s="7">
        <v>26945</v>
      </c>
      <c r="G61" s="7">
        <v>26945</v>
      </c>
    </row>
    <row r="62" spans="1:7">
      <c r="A62" s="10">
        <v>45859</v>
      </c>
      <c r="B62" s="7" t="s">
        <v>11</v>
      </c>
      <c r="C62" s="7" t="s">
        <v>12</v>
      </c>
      <c r="D62" s="7" t="s">
        <v>21</v>
      </c>
      <c r="E62" s="7">
        <v>15</v>
      </c>
      <c r="F62" s="7">
        <v>26316</v>
      </c>
      <c r="G62" s="7">
        <v>394740</v>
      </c>
    </row>
    <row r="63" spans="1:7">
      <c r="A63" s="10">
        <v>45860</v>
      </c>
      <c r="B63" s="7" t="s">
        <v>11</v>
      </c>
      <c r="C63" s="7" t="s">
        <v>22</v>
      </c>
      <c r="D63" s="7" t="s">
        <v>13</v>
      </c>
      <c r="E63" s="7">
        <v>1</v>
      </c>
      <c r="F63" s="7">
        <v>33217</v>
      </c>
      <c r="G63" s="7">
        <v>33217</v>
      </c>
    </row>
    <row r="64" spans="1:7">
      <c r="A64" s="10">
        <v>45916</v>
      </c>
      <c r="B64" s="7" t="s">
        <v>17</v>
      </c>
      <c r="C64" s="7" t="s">
        <v>29</v>
      </c>
      <c r="D64" s="7" t="s">
        <v>16</v>
      </c>
      <c r="E64" s="7">
        <v>5</v>
      </c>
      <c r="F64" s="7">
        <v>9308</v>
      </c>
      <c r="G64" s="7">
        <v>46540</v>
      </c>
    </row>
    <row r="65" spans="1:7">
      <c r="A65" s="10">
        <v>45713</v>
      </c>
      <c r="B65" s="7" t="s">
        <v>17</v>
      </c>
      <c r="C65" s="7" t="s">
        <v>25</v>
      </c>
      <c r="D65" s="7" t="s">
        <v>13</v>
      </c>
      <c r="E65" s="7">
        <v>16</v>
      </c>
      <c r="F65" s="7">
        <v>6949</v>
      </c>
      <c r="G65" s="7">
        <v>111184</v>
      </c>
    </row>
    <row r="66" spans="1:7">
      <c r="A66" s="10">
        <v>45932</v>
      </c>
      <c r="B66" s="7" t="s">
        <v>11</v>
      </c>
      <c r="C66" s="7" t="s">
        <v>12</v>
      </c>
      <c r="D66" s="7" t="s">
        <v>23</v>
      </c>
      <c r="E66" s="7">
        <v>19</v>
      </c>
      <c r="F66" s="7">
        <v>2150</v>
      </c>
      <c r="G66" s="7">
        <v>40850</v>
      </c>
    </row>
    <row r="67" spans="1:7">
      <c r="A67" s="10">
        <v>45716</v>
      </c>
      <c r="B67" s="7" t="s">
        <v>24</v>
      </c>
      <c r="C67" s="7" t="s">
        <v>12</v>
      </c>
      <c r="D67" s="7" t="s">
        <v>23</v>
      </c>
      <c r="E67" s="7">
        <v>4</v>
      </c>
      <c r="F67" s="7">
        <v>24944</v>
      </c>
      <c r="G67" s="7">
        <v>99776</v>
      </c>
    </row>
    <row r="68" spans="1:7">
      <c r="A68" s="10">
        <v>45738</v>
      </c>
      <c r="B68" s="7" t="s">
        <v>15</v>
      </c>
      <c r="C68" s="7" t="s">
        <v>18</v>
      </c>
      <c r="D68" s="7" t="s">
        <v>19</v>
      </c>
      <c r="E68" s="7">
        <v>3</v>
      </c>
      <c r="F68" s="7">
        <v>35699</v>
      </c>
      <c r="G68" s="7">
        <v>107097</v>
      </c>
    </row>
    <row r="69" spans="1:7">
      <c r="A69" s="10">
        <v>45839</v>
      </c>
      <c r="B69" s="7" t="s">
        <v>17</v>
      </c>
      <c r="C69" s="7" t="s">
        <v>26</v>
      </c>
      <c r="D69" s="7" t="s">
        <v>13</v>
      </c>
      <c r="E69" s="7">
        <v>17</v>
      </c>
      <c r="F69" s="7">
        <v>10204</v>
      </c>
      <c r="G69" s="7">
        <v>173468</v>
      </c>
    </row>
    <row r="70" spans="1:7">
      <c r="A70" s="10">
        <v>45776</v>
      </c>
      <c r="B70" s="7" t="s">
        <v>15</v>
      </c>
      <c r="C70" s="7" t="s">
        <v>29</v>
      </c>
      <c r="D70" s="7" t="s">
        <v>21</v>
      </c>
      <c r="E70" s="7">
        <v>17</v>
      </c>
      <c r="F70" s="7">
        <v>2081</v>
      </c>
      <c r="G70" s="7">
        <v>35377</v>
      </c>
    </row>
    <row r="71" spans="1:7">
      <c r="A71" s="10">
        <v>45906</v>
      </c>
      <c r="B71" s="7" t="s">
        <v>24</v>
      </c>
      <c r="C71" s="7" t="s">
        <v>25</v>
      </c>
      <c r="D71" s="7" t="s">
        <v>27</v>
      </c>
      <c r="E71" s="7">
        <v>12</v>
      </c>
      <c r="F71" s="7">
        <v>30305</v>
      </c>
      <c r="G71" s="7">
        <v>363660</v>
      </c>
    </row>
    <row r="72" spans="1:7">
      <c r="A72" s="10">
        <v>45940</v>
      </c>
      <c r="B72" s="7" t="s">
        <v>24</v>
      </c>
      <c r="C72" s="7" t="s">
        <v>18</v>
      </c>
      <c r="D72" s="7" t="s">
        <v>16</v>
      </c>
      <c r="E72" s="7">
        <v>14</v>
      </c>
      <c r="F72" s="7">
        <v>17896</v>
      </c>
      <c r="G72" s="7">
        <v>250544</v>
      </c>
    </row>
    <row r="73" spans="1:7">
      <c r="A73" s="10">
        <v>45661</v>
      </c>
      <c r="B73" s="7" t="s">
        <v>24</v>
      </c>
      <c r="C73" s="7" t="s">
        <v>26</v>
      </c>
      <c r="D73" s="7" t="s">
        <v>28</v>
      </c>
      <c r="E73" s="7">
        <v>6</v>
      </c>
      <c r="F73" s="7">
        <v>47175</v>
      </c>
      <c r="G73" s="7">
        <v>283050</v>
      </c>
    </row>
    <row r="74" spans="1:7">
      <c r="A74" s="10">
        <v>45806</v>
      </c>
      <c r="B74" s="7" t="s">
        <v>17</v>
      </c>
      <c r="C74" s="7" t="s">
        <v>18</v>
      </c>
      <c r="D74" s="7" t="s">
        <v>21</v>
      </c>
      <c r="E74" s="7">
        <v>3</v>
      </c>
      <c r="F74" s="7">
        <v>8805</v>
      </c>
      <c r="G74" s="7">
        <v>26415</v>
      </c>
    </row>
    <row r="75" spans="1:7">
      <c r="A75" s="10">
        <v>45814</v>
      </c>
      <c r="B75" s="7" t="s">
        <v>24</v>
      </c>
      <c r="C75" s="7" t="s">
        <v>22</v>
      </c>
      <c r="D75" s="7" t="s">
        <v>21</v>
      </c>
      <c r="E75" s="7">
        <v>9</v>
      </c>
      <c r="F75" s="7">
        <v>6237</v>
      </c>
      <c r="G75" s="7">
        <v>56133</v>
      </c>
    </row>
    <row r="76" spans="1:7">
      <c r="A76" s="10">
        <v>45847</v>
      </c>
      <c r="B76" s="7" t="s">
        <v>17</v>
      </c>
      <c r="C76" s="7" t="s">
        <v>26</v>
      </c>
      <c r="D76" s="7" t="s">
        <v>23</v>
      </c>
      <c r="E76" s="7">
        <v>5</v>
      </c>
      <c r="F76" s="7">
        <v>21056</v>
      </c>
      <c r="G76" s="7">
        <v>105280</v>
      </c>
    </row>
    <row r="77" spans="1:7">
      <c r="A77" s="10">
        <v>45694</v>
      </c>
      <c r="B77" s="7" t="s">
        <v>24</v>
      </c>
      <c r="C77" s="7" t="s">
        <v>26</v>
      </c>
      <c r="D77" s="7" t="s">
        <v>13</v>
      </c>
      <c r="E77" s="7">
        <v>17</v>
      </c>
      <c r="F77" s="7">
        <v>46543</v>
      </c>
      <c r="G77" s="7">
        <v>791231</v>
      </c>
    </row>
    <row r="78" spans="1:7">
      <c r="A78" s="10">
        <v>45830</v>
      </c>
      <c r="B78" s="7" t="s">
        <v>15</v>
      </c>
      <c r="C78" s="7" t="s">
        <v>29</v>
      </c>
      <c r="D78" s="7" t="s">
        <v>19</v>
      </c>
      <c r="E78" s="7">
        <v>14</v>
      </c>
      <c r="F78" s="7">
        <v>46952</v>
      </c>
      <c r="G78" s="7">
        <v>657328</v>
      </c>
    </row>
    <row r="79" spans="1:7">
      <c r="A79" s="10">
        <v>45922</v>
      </c>
      <c r="B79" s="7" t="s">
        <v>15</v>
      </c>
      <c r="C79" s="7" t="s">
        <v>26</v>
      </c>
      <c r="D79" s="7" t="s">
        <v>19</v>
      </c>
      <c r="E79" s="7">
        <v>3</v>
      </c>
      <c r="F79" s="7">
        <v>4343</v>
      </c>
      <c r="G79" s="7">
        <v>13029</v>
      </c>
    </row>
    <row r="80" spans="1:7">
      <c r="A80" s="10">
        <v>45896</v>
      </c>
      <c r="B80" s="7" t="s">
        <v>11</v>
      </c>
      <c r="C80" s="7" t="s">
        <v>18</v>
      </c>
      <c r="D80" s="7" t="s">
        <v>16</v>
      </c>
      <c r="E80" s="7">
        <v>1</v>
      </c>
      <c r="F80" s="7">
        <v>14500</v>
      </c>
      <c r="G80" s="7">
        <v>14500</v>
      </c>
    </row>
    <row r="81" spans="1:7">
      <c r="A81" s="10">
        <v>45899</v>
      </c>
      <c r="B81" s="7" t="s">
        <v>15</v>
      </c>
      <c r="C81" s="7" t="s">
        <v>26</v>
      </c>
      <c r="D81" s="7" t="s">
        <v>23</v>
      </c>
      <c r="E81" s="7">
        <v>1</v>
      </c>
      <c r="F81" s="7">
        <v>30375</v>
      </c>
      <c r="G81" s="7">
        <v>30375</v>
      </c>
    </row>
    <row r="82" spans="1:7">
      <c r="A82" s="10">
        <v>45690</v>
      </c>
      <c r="B82" s="7" t="s">
        <v>11</v>
      </c>
      <c r="C82" s="7" t="s">
        <v>29</v>
      </c>
      <c r="D82" s="7" t="s">
        <v>21</v>
      </c>
      <c r="E82" s="7">
        <v>3</v>
      </c>
      <c r="F82" s="7">
        <v>10662</v>
      </c>
      <c r="G82" s="7">
        <v>31986</v>
      </c>
    </row>
    <row r="83" spans="1:7">
      <c r="A83" s="10">
        <v>45940</v>
      </c>
      <c r="B83" s="7" t="s">
        <v>15</v>
      </c>
      <c r="C83" s="7" t="s">
        <v>29</v>
      </c>
      <c r="D83" s="7" t="s">
        <v>27</v>
      </c>
      <c r="E83" s="7">
        <v>18</v>
      </c>
      <c r="F83" s="7">
        <v>17964</v>
      </c>
      <c r="G83" s="7">
        <v>323352</v>
      </c>
    </row>
    <row r="84" spans="1:7">
      <c r="A84" s="10">
        <v>45752</v>
      </c>
      <c r="B84" s="7" t="s">
        <v>17</v>
      </c>
      <c r="C84" s="7" t="s">
        <v>22</v>
      </c>
      <c r="D84" s="7" t="s">
        <v>23</v>
      </c>
      <c r="E84" s="7">
        <v>10</v>
      </c>
      <c r="F84" s="7">
        <v>48893</v>
      </c>
      <c r="G84" s="7">
        <v>488930</v>
      </c>
    </row>
    <row r="85" spans="1:7">
      <c r="A85" s="10">
        <v>45841</v>
      </c>
      <c r="B85" s="7" t="s">
        <v>15</v>
      </c>
      <c r="C85" s="7" t="s">
        <v>18</v>
      </c>
      <c r="D85" s="7" t="s">
        <v>16</v>
      </c>
      <c r="E85" s="7">
        <v>3</v>
      </c>
      <c r="F85" s="7">
        <v>9130</v>
      </c>
      <c r="G85" s="7">
        <v>27390</v>
      </c>
    </row>
    <row r="86" spans="1:7">
      <c r="A86" s="10">
        <v>45768</v>
      </c>
      <c r="B86" s="7" t="s">
        <v>11</v>
      </c>
      <c r="C86" s="7" t="s">
        <v>12</v>
      </c>
      <c r="D86" s="7" t="s">
        <v>16</v>
      </c>
      <c r="E86" s="7">
        <v>8</v>
      </c>
      <c r="F86" s="7">
        <v>20531</v>
      </c>
      <c r="G86" s="7">
        <v>164248</v>
      </c>
    </row>
    <row r="87" spans="1:7">
      <c r="A87" s="10">
        <v>45860</v>
      </c>
      <c r="B87" s="7" t="s">
        <v>11</v>
      </c>
      <c r="C87" s="7" t="s">
        <v>12</v>
      </c>
      <c r="D87" s="7" t="s">
        <v>23</v>
      </c>
      <c r="E87" s="7">
        <v>14</v>
      </c>
      <c r="F87" s="7">
        <v>2679</v>
      </c>
      <c r="G87" s="7">
        <v>37506</v>
      </c>
    </row>
    <row r="88" spans="1:7">
      <c r="A88" s="10">
        <v>45697</v>
      </c>
      <c r="B88" s="7" t="s">
        <v>24</v>
      </c>
      <c r="C88" s="7" t="s">
        <v>26</v>
      </c>
      <c r="D88" s="7" t="s">
        <v>16</v>
      </c>
      <c r="E88" s="7">
        <v>18</v>
      </c>
      <c r="F88" s="7">
        <v>4506</v>
      </c>
      <c r="G88" s="7"/>
    </row>
    <row r="89" spans="1:7">
      <c r="A89" s="10">
        <v>45746</v>
      </c>
      <c r="B89" s="7" t="s">
        <v>17</v>
      </c>
      <c r="C89" s="7" t="s">
        <v>22</v>
      </c>
      <c r="D89" s="7" t="s">
        <v>23</v>
      </c>
      <c r="E89" s="7">
        <v>15</v>
      </c>
      <c r="F89" s="7">
        <v>14284</v>
      </c>
      <c r="G89" s="7">
        <v>214260</v>
      </c>
    </row>
    <row r="90" spans="1:7">
      <c r="A90" s="10">
        <v>45701</v>
      </c>
      <c r="B90" s="7" t="s">
        <v>15</v>
      </c>
      <c r="C90" s="7" t="s">
        <v>25</v>
      </c>
      <c r="D90" s="7" t="s">
        <v>28</v>
      </c>
      <c r="E90" s="7">
        <v>2</v>
      </c>
      <c r="F90" s="7">
        <v>8253</v>
      </c>
      <c r="G90" s="7">
        <v>16506</v>
      </c>
    </row>
    <row r="91" spans="1:7">
      <c r="A91" s="10">
        <v>45775</v>
      </c>
      <c r="B91" s="7" t="s">
        <v>24</v>
      </c>
      <c r="C91" s="7" t="s">
        <v>26</v>
      </c>
      <c r="D91" s="7" t="s">
        <v>23</v>
      </c>
      <c r="E91" s="7">
        <v>10</v>
      </c>
      <c r="F91" s="7">
        <v>20128</v>
      </c>
      <c r="G91" s="7">
        <v>201280</v>
      </c>
    </row>
    <row r="92" spans="1:7">
      <c r="A92" s="10">
        <v>45906</v>
      </c>
      <c r="B92" s="7" t="s">
        <v>15</v>
      </c>
      <c r="C92" s="7" t="s">
        <v>22</v>
      </c>
      <c r="D92" s="7" t="s">
        <v>13</v>
      </c>
      <c r="E92" s="7">
        <v>2</v>
      </c>
      <c r="F92" s="7">
        <v>28932</v>
      </c>
      <c r="G92" s="7">
        <v>57864</v>
      </c>
    </row>
    <row r="93" spans="1:7">
      <c r="A93" s="10">
        <v>45915</v>
      </c>
      <c r="B93" s="7" t="s">
        <v>15</v>
      </c>
      <c r="C93" s="7" t="s">
        <v>18</v>
      </c>
      <c r="D93" s="7" t="s">
        <v>23</v>
      </c>
      <c r="E93" s="7">
        <v>17</v>
      </c>
      <c r="F93" s="7">
        <v>10435</v>
      </c>
      <c r="G93" s="7">
        <v>177395</v>
      </c>
    </row>
    <row r="94" spans="1:7">
      <c r="A94" s="10">
        <v>45885</v>
      </c>
      <c r="B94" s="7" t="s">
        <v>24</v>
      </c>
      <c r="C94" s="7" t="s">
        <v>18</v>
      </c>
      <c r="D94" s="7" t="s">
        <v>16</v>
      </c>
      <c r="E94" s="7">
        <v>8</v>
      </c>
      <c r="F94" s="7">
        <v>45078</v>
      </c>
      <c r="G94" s="7">
        <v>360624</v>
      </c>
    </row>
    <row r="95" spans="1:7">
      <c r="A95" s="10">
        <v>45796</v>
      </c>
      <c r="B95" s="7" t="s">
        <v>24</v>
      </c>
      <c r="C95" s="7" t="s">
        <v>18</v>
      </c>
      <c r="D95" s="7" t="s">
        <v>13</v>
      </c>
      <c r="E95" s="7">
        <v>1</v>
      </c>
      <c r="F95" s="7">
        <v>14296</v>
      </c>
      <c r="G95" s="7">
        <v>14296</v>
      </c>
    </row>
    <row r="96" spans="1:7">
      <c r="A96" s="10">
        <v>45927</v>
      </c>
      <c r="B96" s="7" t="s">
        <v>24</v>
      </c>
      <c r="C96" s="7" t="s">
        <v>18</v>
      </c>
      <c r="D96" s="7" t="s">
        <v>16</v>
      </c>
      <c r="E96" s="7">
        <v>9</v>
      </c>
      <c r="F96" s="7">
        <v>31445</v>
      </c>
      <c r="G96" s="7">
        <v>283005</v>
      </c>
    </row>
    <row r="97" spans="1:7">
      <c r="A97" s="10">
        <v>45669</v>
      </c>
      <c r="B97" s="7" t="s">
        <v>24</v>
      </c>
      <c r="C97" s="7" t="s">
        <v>18</v>
      </c>
      <c r="D97" s="7" t="s">
        <v>19</v>
      </c>
      <c r="E97" s="7">
        <v>11</v>
      </c>
      <c r="F97" s="7">
        <v>14245</v>
      </c>
      <c r="G97" s="7">
        <v>156695</v>
      </c>
    </row>
    <row r="98" spans="1:7">
      <c r="A98" s="10">
        <v>45661</v>
      </c>
      <c r="B98" s="7" t="s">
        <v>24</v>
      </c>
      <c r="C98" s="7" t="s">
        <v>22</v>
      </c>
      <c r="D98" s="7" t="s">
        <v>19</v>
      </c>
      <c r="E98" s="7">
        <v>16</v>
      </c>
      <c r="F98" s="7">
        <v>30124</v>
      </c>
      <c r="G98" s="7"/>
    </row>
    <row r="99" spans="1:7">
      <c r="A99" s="10">
        <v>45686</v>
      </c>
      <c r="B99" s="7" t="s">
        <v>15</v>
      </c>
      <c r="C99" s="7" t="s">
        <v>22</v>
      </c>
      <c r="D99" s="7" t="s">
        <v>13</v>
      </c>
      <c r="E99" s="7">
        <v>7</v>
      </c>
      <c r="F99" s="7">
        <v>30899</v>
      </c>
      <c r="G99" s="7">
        <v>216293</v>
      </c>
    </row>
    <row r="100" spans="1:7">
      <c r="A100" s="10">
        <v>45932</v>
      </c>
      <c r="B100" s="7" t="s">
        <v>24</v>
      </c>
      <c r="C100" s="7" t="s">
        <v>29</v>
      </c>
      <c r="D100" s="7" t="s">
        <v>28</v>
      </c>
      <c r="E100" s="7">
        <v>10</v>
      </c>
      <c r="F100" s="7">
        <v>44919</v>
      </c>
      <c r="G100" s="7">
        <v>449190</v>
      </c>
    </row>
    <row r="101" spans="1:7">
      <c r="A101" s="10">
        <v>45772</v>
      </c>
      <c r="B101" s="7" t="s">
        <v>17</v>
      </c>
      <c r="C101" s="7" t="s">
        <v>12</v>
      </c>
      <c r="D101" s="7" t="s">
        <v>19</v>
      </c>
      <c r="E101" s="7">
        <v>3</v>
      </c>
      <c r="F101" s="7">
        <v>44225</v>
      </c>
      <c r="G101" s="7">
        <v>132675</v>
      </c>
    </row>
    <row r="102" spans="1:7">
      <c r="A102" s="10">
        <v>45769</v>
      </c>
      <c r="B102" s="7" t="s">
        <v>11</v>
      </c>
      <c r="C102" s="7" t="s">
        <v>12</v>
      </c>
      <c r="D102" s="7" t="s">
        <v>13</v>
      </c>
      <c r="E102" s="7">
        <v>11</v>
      </c>
      <c r="F102" s="7">
        <v>30592</v>
      </c>
      <c r="G102" s="7">
        <v>336512</v>
      </c>
    </row>
    <row r="103" spans="1:7">
      <c r="A103" s="10">
        <v>45832</v>
      </c>
      <c r="B103" s="7" t="s">
        <v>15</v>
      </c>
      <c r="C103" s="7" t="s">
        <v>12</v>
      </c>
      <c r="D103" s="7" t="s">
        <v>16</v>
      </c>
      <c r="E103" s="7">
        <v>18</v>
      </c>
      <c r="F103" s="7">
        <v>11647</v>
      </c>
      <c r="G103" s="7">
        <v>209646</v>
      </c>
    </row>
    <row r="104" spans="1:7">
      <c r="A104" s="10">
        <v>45918</v>
      </c>
      <c r="B104" s="7" t="s">
        <v>17</v>
      </c>
      <c r="C104" s="7" t="s">
        <v>18</v>
      </c>
      <c r="D104" s="7" t="s">
        <v>19</v>
      </c>
      <c r="E104" s="7">
        <v>10</v>
      </c>
      <c r="F104" s="7">
        <v>9716</v>
      </c>
      <c r="G104" s="7">
        <v>97160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74E73-7073-472C-8044-8D47807A5BE9}">
  <dimension ref="A1"/>
  <sheetViews>
    <sheetView showGridLines="0" topLeftCell="C2" workbookViewId="0">
      <selection activeCell="C7" sqref="C7"/>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workbookViewId="0">
      <selection activeCell="B4" sqref="B4"/>
    </sheetView>
  </sheetViews>
  <sheetFormatPr defaultColWidth="9" defaultRowHeight="15"/>
  <cols>
    <col min="1" max="2" width="22" style="1" customWidth="1"/>
  </cols>
  <sheetData>
    <row r="1" spans="1:12">
      <c r="A1" s="2" t="s">
        <v>0</v>
      </c>
      <c r="B1" s="2" t="s">
        <v>35</v>
      </c>
      <c r="C1" s="3" t="s">
        <v>1</v>
      </c>
      <c r="D1" s="3" t="s">
        <v>2</v>
      </c>
      <c r="E1" s="3" t="s">
        <v>3</v>
      </c>
      <c r="F1" s="3" t="s">
        <v>4</v>
      </c>
      <c r="G1" s="3" t="s">
        <v>5</v>
      </c>
      <c r="H1" s="3" t="s">
        <v>6</v>
      </c>
      <c r="I1" s="3" t="s">
        <v>7</v>
      </c>
      <c r="J1" s="4" t="s">
        <v>8</v>
      </c>
      <c r="K1" s="4" t="s">
        <v>9</v>
      </c>
      <c r="L1" s="4" t="s">
        <v>10</v>
      </c>
    </row>
    <row r="2" spans="1:12">
      <c r="A2" s="2">
        <v>45769</v>
      </c>
      <c r="B2" s="2" t="str">
        <f>TEXT(Table1[[#This Row],[Date]],"mmm")</f>
        <v>Apr</v>
      </c>
      <c r="C2" s="3" t="s">
        <v>11</v>
      </c>
      <c r="D2" s="3" t="s">
        <v>12</v>
      </c>
      <c r="E2" s="3" t="s">
        <v>13</v>
      </c>
      <c r="F2" s="3">
        <v>11</v>
      </c>
      <c r="G2" s="3">
        <v>30592</v>
      </c>
      <c r="H2" s="3">
        <v>336512</v>
      </c>
      <c r="I2" s="3" t="s">
        <v>14</v>
      </c>
      <c r="J2" s="3">
        <f t="shared" ref="J2:J65" si="0">F2*G2</f>
        <v>336512</v>
      </c>
      <c r="K2" s="3" t="str">
        <f t="shared" ref="K2:K65" si="1">IF(H2&gt;200000,"Yes","No")</f>
        <v>Yes</v>
      </c>
      <c r="L2" s="3" t="str">
        <f t="shared" ref="L2:L65" si="2">IF(H2&gt;500000,"Premium",IF(H2&gt;200000,"Standard","Low"))</f>
        <v>Standard</v>
      </c>
    </row>
    <row r="3" spans="1:12">
      <c r="A3" s="2">
        <v>45832</v>
      </c>
      <c r="B3" s="2" t="str">
        <f>TEXT(Table1[[#This Row],[Date]],"mmm")</f>
        <v>Jun</v>
      </c>
      <c r="C3" s="3" t="s">
        <v>15</v>
      </c>
      <c r="D3" s="3" t="s">
        <v>12</v>
      </c>
      <c r="E3" s="3" t="s">
        <v>16</v>
      </c>
      <c r="F3" s="3">
        <v>18</v>
      </c>
      <c r="G3" s="3">
        <v>11647</v>
      </c>
      <c r="H3" s="3">
        <v>209646</v>
      </c>
      <c r="I3" s="3" t="s">
        <v>14</v>
      </c>
      <c r="J3" s="3">
        <f t="shared" si="0"/>
        <v>209646</v>
      </c>
      <c r="K3" s="3" t="str">
        <f t="shared" si="1"/>
        <v>Yes</v>
      </c>
      <c r="L3" s="3" t="str">
        <f t="shared" si="2"/>
        <v>Standard</v>
      </c>
    </row>
    <row r="4" spans="1:12">
      <c r="A4" s="2">
        <v>45918</v>
      </c>
      <c r="B4" s="2" t="str">
        <f>TEXT(Table1[[#This Row],[Date]],"mmm")</f>
        <v>Sep</v>
      </c>
      <c r="C4" s="3" t="s">
        <v>17</v>
      </c>
      <c r="D4" s="3" t="s">
        <v>18</v>
      </c>
      <c r="E4" s="3" t="s">
        <v>19</v>
      </c>
      <c r="F4" s="3">
        <v>10</v>
      </c>
      <c r="G4" s="3">
        <v>9716</v>
      </c>
      <c r="H4" s="3">
        <v>97160</v>
      </c>
      <c r="I4" s="3" t="s">
        <v>20</v>
      </c>
      <c r="J4" s="3">
        <f t="shared" si="0"/>
        <v>97160</v>
      </c>
      <c r="K4" s="3" t="str">
        <f t="shared" si="1"/>
        <v>No</v>
      </c>
      <c r="L4" s="3" t="str">
        <f t="shared" si="2"/>
        <v>Low</v>
      </c>
    </row>
    <row r="5" spans="1:12">
      <c r="A5" s="2">
        <v>45715</v>
      </c>
      <c r="B5" s="2" t="str">
        <f>TEXT(Table1[[#This Row],[Date]],"mmm")</f>
        <v>Feb</v>
      </c>
      <c r="C5" s="3" t="s">
        <v>11</v>
      </c>
      <c r="D5" s="3" t="s">
        <v>12</v>
      </c>
      <c r="E5" s="3" t="s">
        <v>13</v>
      </c>
      <c r="F5" s="3">
        <v>3</v>
      </c>
      <c r="G5" s="3">
        <v>24355</v>
      </c>
      <c r="H5" s="3">
        <v>73065</v>
      </c>
      <c r="I5" s="3" t="s">
        <v>20</v>
      </c>
      <c r="J5" s="3">
        <f t="shared" si="0"/>
        <v>73065</v>
      </c>
      <c r="K5" s="3" t="str">
        <f t="shared" si="1"/>
        <v>No</v>
      </c>
      <c r="L5" s="3" t="str">
        <f t="shared" si="2"/>
        <v>Low</v>
      </c>
    </row>
    <row r="6" spans="1:12">
      <c r="A6" s="2">
        <v>45942</v>
      </c>
      <c r="B6" s="2" t="str">
        <f>TEXT(Table1[[#This Row],[Date]],"mmm")</f>
        <v>Oct</v>
      </c>
      <c r="C6" s="3" t="s">
        <v>11</v>
      </c>
      <c r="D6" s="3" t="s">
        <v>12</v>
      </c>
      <c r="E6" s="3" t="s">
        <v>21</v>
      </c>
      <c r="F6" s="3">
        <v>7</v>
      </c>
      <c r="G6" s="3">
        <v>23009</v>
      </c>
      <c r="H6" s="3">
        <v>161063</v>
      </c>
      <c r="I6" s="3" t="s">
        <v>20</v>
      </c>
      <c r="J6" s="3">
        <f t="shared" si="0"/>
        <v>161063</v>
      </c>
      <c r="K6" s="3" t="str">
        <f t="shared" si="1"/>
        <v>No</v>
      </c>
      <c r="L6" s="3" t="str">
        <f t="shared" si="2"/>
        <v>Low</v>
      </c>
    </row>
    <row r="7" spans="1:12">
      <c r="A7" s="2">
        <v>45783</v>
      </c>
      <c r="B7" s="2" t="str">
        <f>TEXT(Table1[[#This Row],[Date]],"mmm")</f>
        <v>May</v>
      </c>
      <c r="C7" s="3" t="s">
        <v>15</v>
      </c>
      <c r="D7" s="3" t="s">
        <v>22</v>
      </c>
      <c r="E7" s="3" t="s">
        <v>19</v>
      </c>
      <c r="F7" s="3">
        <v>16</v>
      </c>
      <c r="G7" s="3">
        <v>25376</v>
      </c>
      <c r="H7" s="3">
        <v>406016</v>
      </c>
      <c r="I7" s="3" t="s">
        <v>14</v>
      </c>
      <c r="J7" s="3">
        <f t="shared" si="0"/>
        <v>406016</v>
      </c>
      <c r="K7" s="3" t="str">
        <f t="shared" si="1"/>
        <v>Yes</v>
      </c>
      <c r="L7" s="3" t="str">
        <f t="shared" si="2"/>
        <v>Standard</v>
      </c>
    </row>
    <row r="8" spans="1:12">
      <c r="A8" s="2">
        <v>45769</v>
      </c>
      <c r="B8" s="2" t="str">
        <f>TEXT(Table1[[#This Row],[Date]],"mmm")</f>
        <v>Apr</v>
      </c>
      <c r="C8" s="3" t="s">
        <v>17</v>
      </c>
      <c r="D8" s="3" t="s">
        <v>18</v>
      </c>
      <c r="E8" s="3" t="s">
        <v>19</v>
      </c>
      <c r="F8" s="3">
        <v>16</v>
      </c>
      <c r="G8" s="3">
        <v>46091</v>
      </c>
      <c r="H8" s="3">
        <v>737456</v>
      </c>
      <c r="I8" s="3" t="s">
        <v>14</v>
      </c>
      <c r="J8" s="3">
        <f t="shared" si="0"/>
        <v>737456</v>
      </c>
      <c r="K8" s="3" t="str">
        <f t="shared" si="1"/>
        <v>Yes</v>
      </c>
      <c r="L8" s="3" t="str">
        <f t="shared" si="2"/>
        <v>Premium</v>
      </c>
    </row>
    <row r="9" spans="1:12">
      <c r="A9" s="2">
        <v>45888</v>
      </c>
      <c r="B9" s="2" t="str">
        <f>TEXT(Table1[[#This Row],[Date]],"mmm")</f>
        <v>Aug</v>
      </c>
      <c r="C9" s="3" t="s">
        <v>17</v>
      </c>
      <c r="D9" s="3" t="s">
        <v>22</v>
      </c>
      <c r="E9" s="3" t="s">
        <v>19</v>
      </c>
      <c r="F9" s="3">
        <v>17</v>
      </c>
      <c r="G9" s="3">
        <v>5780</v>
      </c>
      <c r="H9" s="3">
        <v>98260</v>
      </c>
      <c r="I9" s="3" t="s">
        <v>20</v>
      </c>
      <c r="J9" s="3">
        <f t="shared" si="0"/>
        <v>98260</v>
      </c>
      <c r="K9" s="3" t="str">
        <f t="shared" si="1"/>
        <v>No</v>
      </c>
      <c r="L9" s="3" t="str">
        <f t="shared" si="2"/>
        <v>Low</v>
      </c>
    </row>
    <row r="10" spans="1:12">
      <c r="A10" s="2">
        <v>45738</v>
      </c>
      <c r="B10" s="2" t="str">
        <f>TEXT(Table1[[#This Row],[Date]],"mmm")</f>
        <v>Mar</v>
      </c>
      <c r="C10" s="3" t="s">
        <v>11</v>
      </c>
      <c r="D10" s="3" t="s">
        <v>22</v>
      </c>
      <c r="E10" s="3" t="s">
        <v>23</v>
      </c>
      <c r="F10" s="3">
        <v>2</v>
      </c>
      <c r="G10" s="3">
        <v>3368</v>
      </c>
      <c r="H10" s="3">
        <v>6736</v>
      </c>
      <c r="I10" s="3" t="s">
        <v>20</v>
      </c>
      <c r="J10" s="3">
        <f t="shared" si="0"/>
        <v>6736</v>
      </c>
      <c r="K10" s="3" t="str">
        <f t="shared" si="1"/>
        <v>No</v>
      </c>
      <c r="L10" s="3" t="str">
        <f t="shared" si="2"/>
        <v>Low</v>
      </c>
    </row>
    <row r="11" spans="1:12">
      <c r="A11" s="2">
        <v>45856</v>
      </c>
      <c r="B11" s="2" t="str">
        <f>TEXT(Table1[[#This Row],[Date]],"mmm")</f>
        <v>Jul</v>
      </c>
      <c r="C11" s="3" t="s">
        <v>24</v>
      </c>
      <c r="D11" s="3" t="s">
        <v>18</v>
      </c>
      <c r="E11" s="3" t="s">
        <v>21</v>
      </c>
      <c r="F11" s="3">
        <v>1</v>
      </c>
      <c r="G11" s="3">
        <v>13039</v>
      </c>
      <c r="H11" s="3">
        <v>13039</v>
      </c>
      <c r="I11" s="3" t="s">
        <v>20</v>
      </c>
      <c r="J11" s="3">
        <f t="shared" si="0"/>
        <v>13039</v>
      </c>
      <c r="K11" s="3" t="str">
        <f t="shared" si="1"/>
        <v>No</v>
      </c>
      <c r="L11" s="3" t="str">
        <f t="shared" si="2"/>
        <v>Low</v>
      </c>
    </row>
    <row r="12" spans="1:12">
      <c r="A12" s="2">
        <v>45812</v>
      </c>
      <c r="B12" s="2" t="str">
        <f>TEXT(Table1[[#This Row],[Date]],"mmm")</f>
        <v>Jun</v>
      </c>
      <c r="C12" s="3" t="s">
        <v>11</v>
      </c>
      <c r="D12" s="3" t="s">
        <v>25</v>
      </c>
      <c r="E12" s="3" t="s">
        <v>19</v>
      </c>
      <c r="F12" s="3">
        <v>16</v>
      </c>
      <c r="G12" s="3">
        <v>7655</v>
      </c>
      <c r="H12" s="3">
        <v>122480</v>
      </c>
      <c r="I12" s="3" t="s">
        <v>20</v>
      </c>
      <c r="J12" s="3">
        <f t="shared" si="0"/>
        <v>122480</v>
      </c>
      <c r="K12" s="3" t="str">
        <f t="shared" si="1"/>
        <v>No</v>
      </c>
      <c r="L12" s="3" t="str">
        <f t="shared" si="2"/>
        <v>Low</v>
      </c>
    </row>
    <row r="13" spans="1:12">
      <c r="A13" s="2">
        <v>45896</v>
      </c>
      <c r="B13" s="2" t="str">
        <f>TEXT(Table1[[#This Row],[Date]],"mmm")</f>
        <v>Aug</v>
      </c>
      <c r="C13" s="3" t="s">
        <v>11</v>
      </c>
      <c r="D13" s="3" t="s">
        <v>22</v>
      </c>
      <c r="E13" s="3" t="s">
        <v>16</v>
      </c>
      <c r="F13" s="3">
        <v>12</v>
      </c>
      <c r="G13" s="3">
        <v>41941</v>
      </c>
      <c r="H13" s="3">
        <v>503292</v>
      </c>
      <c r="I13" s="3" t="s">
        <v>14</v>
      </c>
      <c r="J13" s="3">
        <f t="shared" si="0"/>
        <v>503292</v>
      </c>
      <c r="K13" s="3" t="str">
        <f t="shared" si="1"/>
        <v>Yes</v>
      </c>
      <c r="L13" s="3" t="str">
        <f t="shared" si="2"/>
        <v>Premium</v>
      </c>
    </row>
    <row r="14" spans="1:12">
      <c r="A14" s="2">
        <v>45927</v>
      </c>
      <c r="B14" s="2" t="str">
        <f>TEXT(Table1[[#This Row],[Date]],"mmm")</f>
        <v>Sep</v>
      </c>
      <c r="C14" s="3" t="s">
        <v>11</v>
      </c>
      <c r="D14" s="3" t="s">
        <v>26</v>
      </c>
      <c r="E14" s="3" t="s">
        <v>27</v>
      </c>
      <c r="F14" s="3">
        <v>5</v>
      </c>
      <c r="G14" s="3">
        <v>5495</v>
      </c>
      <c r="H14" s="3">
        <v>27475</v>
      </c>
      <c r="I14" s="3" t="s">
        <v>20</v>
      </c>
      <c r="J14" s="3">
        <f t="shared" si="0"/>
        <v>27475</v>
      </c>
      <c r="K14" s="3" t="str">
        <f t="shared" si="1"/>
        <v>No</v>
      </c>
      <c r="L14" s="3" t="str">
        <f t="shared" si="2"/>
        <v>Low</v>
      </c>
    </row>
    <row r="15" spans="1:12">
      <c r="A15" s="2">
        <v>45928</v>
      </c>
      <c r="B15" s="2" t="str">
        <f>TEXT(Table1[[#This Row],[Date]],"mmm")</f>
        <v>Sep</v>
      </c>
      <c r="C15" s="3" t="s">
        <v>11</v>
      </c>
      <c r="D15" s="3" t="s">
        <v>26</v>
      </c>
      <c r="E15" s="3" t="s">
        <v>19</v>
      </c>
      <c r="F15" s="3">
        <v>5</v>
      </c>
      <c r="G15" s="3">
        <v>11893</v>
      </c>
      <c r="H15" s="3">
        <v>59465</v>
      </c>
      <c r="I15" s="3" t="s">
        <v>20</v>
      </c>
      <c r="J15" s="3">
        <f t="shared" si="0"/>
        <v>59465</v>
      </c>
      <c r="K15" s="3" t="str">
        <f t="shared" si="1"/>
        <v>No</v>
      </c>
      <c r="L15" s="3" t="str">
        <f t="shared" si="2"/>
        <v>Low</v>
      </c>
    </row>
    <row r="16" spans="1:12">
      <c r="A16" s="2">
        <v>45950</v>
      </c>
      <c r="B16" s="2" t="str">
        <f>TEXT(Table1[[#This Row],[Date]],"mmm")</f>
        <v>Oct</v>
      </c>
      <c r="C16" s="3" t="s">
        <v>15</v>
      </c>
      <c r="D16" s="3" t="s">
        <v>12</v>
      </c>
      <c r="E16" s="3" t="s">
        <v>23</v>
      </c>
      <c r="F16" s="3">
        <v>9</v>
      </c>
      <c r="G16" s="3">
        <v>26547</v>
      </c>
      <c r="H16" s="3">
        <v>238923</v>
      </c>
      <c r="I16" s="3" t="s">
        <v>14</v>
      </c>
      <c r="J16" s="3">
        <f t="shared" si="0"/>
        <v>238923</v>
      </c>
      <c r="K16" s="3" t="str">
        <f t="shared" si="1"/>
        <v>Yes</v>
      </c>
      <c r="L16" s="3" t="str">
        <f t="shared" si="2"/>
        <v>Standard</v>
      </c>
    </row>
    <row r="17" spans="1:12">
      <c r="A17" s="2">
        <v>45668</v>
      </c>
      <c r="B17" s="2" t="str">
        <f>TEXT(Table1[[#This Row],[Date]],"mmm")</f>
        <v>Jan</v>
      </c>
      <c r="C17" s="3" t="s">
        <v>17</v>
      </c>
      <c r="D17" s="3" t="s">
        <v>26</v>
      </c>
      <c r="E17" s="3" t="s">
        <v>13</v>
      </c>
      <c r="F17" s="3">
        <v>9</v>
      </c>
      <c r="G17" s="3">
        <v>23386</v>
      </c>
      <c r="H17" s="3">
        <v>210474</v>
      </c>
      <c r="I17" s="3" t="s">
        <v>14</v>
      </c>
      <c r="J17" s="3">
        <f t="shared" si="0"/>
        <v>210474</v>
      </c>
      <c r="K17" s="3" t="str">
        <f t="shared" si="1"/>
        <v>Yes</v>
      </c>
      <c r="L17" s="3" t="str">
        <f t="shared" si="2"/>
        <v>Standard</v>
      </c>
    </row>
    <row r="18" spans="1:12">
      <c r="A18" s="2">
        <v>45852</v>
      </c>
      <c r="B18" s="2" t="str">
        <f>TEXT(Table1[[#This Row],[Date]],"mmm")</f>
        <v>Jul</v>
      </c>
      <c r="C18" s="3" t="s">
        <v>15</v>
      </c>
      <c r="D18" s="3" t="s">
        <v>12</v>
      </c>
      <c r="E18" s="3" t="s">
        <v>21</v>
      </c>
      <c r="F18" s="3">
        <v>3</v>
      </c>
      <c r="G18" s="3">
        <v>14403</v>
      </c>
      <c r="H18" s="3">
        <v>43209</v>
      </c>
      <c r="I18" s="3" t="s">
        <v>20</v>
      </c>
      <c r="J18" s="3">
        <f t="shared" si="0"/>
        <v>43209</v>
      </c>
      <c r="K18" s="3" t="str">
        <f t="shared" si="1"/>
        <v>No</v>
      </c>
      <c r="L18" s="3" t="str">
        <f t="shared" si="2"/>
        <v>Low</v>
      </c>
    </row>
    <row r="19" spans="1:12">
      <c r="A19" s="2">
        <v>45774</v>
      </c>
      <c r="B19" s="2" t="str">
        <f>TEXT(Table1[[#This Row],[Date]],"mmm")</f>
        <v>Apr</v>
      </c>
      <c r="C19" s="3" t="s">
        <v>15</v>
      </c>
      <c r="D19" s="3" t="s">
        <v>25</v>
      </c>
      <c r="E19" s="3" t="s">
        <v>23</v>
      </c>
      <c r="F19" s="3">
        <v>19</v>
      </c>
      <c r="G19" s="3">
        <v>33097</v>
      </c>
      <c r="H19" s="3">
        <v>199862.88421052601</v>
      </c>
      <c r="I19" s="3" t="s">
        <v>20</v>
      </c>
      <c r="J19" s="3">
        <f t="shared" si="0"/>
        <v>628843</v>
      </c>
      <c r="K19" s="3" t="str">
        <f t="shared" si="1"/>
        <v>No</v>
      </c>
      <c r="L19" s="3" t="str">
        <f t="shared" si="2"/>
        <v>Low</v>
      </c>
    </row>
    <row r="20" spans="1:12">
      <c r="A20" s="2">
        <v>45785</v>
      </c>
      <c r="B20" s="2" t="str">
        <f>TEXT(Table1[[#This Row],[Date]],"mmm")</f>
        <v>May</v>
      </c>
      <c r="C20" s="3" t="s">
        <v>15</v>
      </c>
      <c r="D20" s="3" t="s">
        <v>18</v>
      </c>
      <c r="E20" s="3" t="s">
        <v>19</v>
      </c>
      <c r="F20" s="3">
        <v>16</v>
      </c>
      <c r="G20" s="3">
        <v>14121</v>
      </c>
      <c r="H20" s="3">
        <v>225936</v>
      </c>
      <c r="I20" s="3" t="s">
        <v>14</v>
      </c>
      <c r="J20" s="3">
        <f t="shared" si="0"/>
        <v>225936</v>
      </c>
      <c r="K20" s="3" t="str">
        <f t="shared" si="1"/>
        <v>Yes</v>
      </c>
      <c r="L20" s="3" t="str">
        <f t="shared" si="2"/>
        <v>Standard</v>
      </c>
    </row>
    <row r="21" spans="1:12">
      <c r="A21" s="2">
        <v>45914</v>
      </c>
      <c r="B21" s="2" t="str">
        <f>TEXT(Table1[[#This Row],[Date]],"mmm")</f>
        <v>Sep</v>
      </c>
      <c r="C21" s="3" t="s">
        <v>11</v>
      </c>
      <c r="D21" s="3" t="s">
        <v>18</v>
      </c>
      <c r="E21" s="3" t="s">
        <v>21</v>
      </c>
      <c r="F21" s="3">
        <v>16</v>
      </c>
      <c r="G21" s="3">
        <v>11966</v>
      </c>
      <c r="H21" s="3">
        <v>191456</v>
      </c>
      <c r="I21" s="3" t="s">
        <v>20</v>
      </c>
      <c r="J21" s="3">
        <f t="shared" si="0"/>
        <v>191456</v>
      </c>
      <c r="K21" s="3" t="str">
        <f t="shared" si="1"/>
        <v>No</v>
      </c>
      <c r="L21" s="3" t="str">
        <f t="shared" si="2"/>
        <v>Low</v>
      </c>
    </row>
    <row r="22" spans="1:12">
      <c r="A22" s="2">
        <v>45666</v>
      </c>
      <c r="B22" s="2" t="str">
        <f>TEXT(Table1[[#This Row],[Date]],"mmm")</f>
        <v>Jan</v>
      </c>
      <c r="C22" s="3" t="s">
        <v>24</v>
      </c>
      <c r="D22" s="3" t="s">
        <v>18</v>
      </c>
      <c r="E22" s="3" t="s">
        <v>27</v>
      </c>
      <c r="F22" s="3">
        <v>3</v>
      </c>
      <c r="G22" s="3">
        <v>34621</v>
      </c>
      <c r="H22" s="3">
        <v>103863</v>
      </c>
      <c r="I22" s="3" t="s">
        <v>20</v>
      </c>
      <c r="J22" s="3">
        <f t="shared" si="0"/>
        <v>103863</v>
      </c>
      <c r="K22" s="3" t="str">
        <f t="shared" si="1"/>
        <v>No</v>
      </c>
      <c r="L22" s="3" t="str">
        <f t="shared" si="2"/>
        <v>Low</v>
      </c>
    </row>
    <row r="23" spans="1:12">
      <c r="A23" s="2">
        <v>45754</v>
      </c>
      <c r="B23" s="2" t="str">
        <f>TEXT(Table1[[#This Row],[Date]],"mmm")</f>
        <v>Apr</v>
      </c>
      <c r="C23" s="3" t="s">
        <v>17</v>
      </c>
      <c r="D23" s="3" t="s">
        <v>26</v>
      </c>
      <c r="E23" s="3" t="s">
        <v>19</v>
      </c>
      <c r="F23" s="3">
        <v>1</v>
      </c>
      <c r="G23" s="3">
        <v>29312</v>
      </c>
      <c r="H23" s="3">
        <v>29312</v>
      </c>
      <c r="I23" s="3" t="s">
        <v>20</v>
      </c>
      <c r="J23" s="3">
        <f t="shared" si="0"/>
        <v>29312</v>
      </c>
      <c r="K23" s="3" t="str">
        <f t="shared" si="1"/>
        <v>No</v>
      </c>
      <c r="L23" s="3" t="str">
        <f t="shared" si="2"/>
        <v>Low</v>
      </c>
    </row>
    <row r="24" spans="1:12">
      <c r="A24" s="2">
        <v>45758</v>
      </c>
      <c r="B24" s="2" t="str">
        <f>TEXT(Table1[[#This Row],[Date]],"mmm")</f>
        <v>Apr</v>
      </c>
      <c r="C24" s="3" t="s">
        <v>24</v>
      </c>
      <c r="D24" s="3" t="s">
        <v>25</v>
      </c>
      <c r="E24" s="3" t="s">
        <v>23</v>
      </c>
      <c r="F24" s="3">
        <v>11</v>
      </c>
      <c r="G24" s="3">
        <v>23677</v>
      </c>
      <c r="H24" s="3">
        <v>260447</v>
      </c>
      <c r="I24" s="3" t="s">
        <v>14</v>
      </c>
      <c r="J24" s="3">
        <f t="shared" si="0"/>
        <v>260447</v>
      </c>
      <c r="K24" s="3" t="str">
        <f t="shared" si="1"/>
        <v>Yes</v>
      </c>
      <c r="L24" s="3" t="str">
        <f t="shared" si="2"/>
        <v>Standard</v>
      </c>
    </row>
    <row r="25" spans="1:12">
      <c r="A25" s="2">
        <v>45702</v>
      </c>
      <c r="B25" s="2" t="str">
        <f>TEXT(Table1[[#This Row],[Date]],"mmm")</f>
        <v>Feb</v>
      </c>
      <c r="C25" s="3" t="s">
        <v>15</v>
      </c>
      <c r="D25" s="3" t="s">
        <v>26</v>
      </c>
      <c r="E25" s="3" t="s">
        <v>28</v>
      </c>
      <c r="F25" s="3">
        <v>17</v>
      </c>
      <c r="G25" s="3">
        <v>32289</v>
      </c>
      <c r="H25" s="3">
        <v>548913</v>
      </c>
      <c r="I25" s="3" t="s">
        <v>14</v>
      </c>
      <c r="J25" s="3">
        <f t="shared" si="0"/>
        <v>548913</v>
      </c>
      <c r="K25" s="3" t="str">
        <f t="shared" si="1"/>
        <v>Yes</v>
      </c>
      <c r="L25" s="3" t="str">
        <f t="shared" si="2"/>
        <v>Premium</v>
      </c>
    </row>
    <row r="26" spans="1:12">
      <c r="A26" s="2">
        <v>45872</v>
      </c>
      <c r="B26" s="2" t="str">
        <f>TEXT(Table1[[#This Row],[Date]],"mmm")</f>
        <v>Aug</v>
      </c>
      <c r="C26" s="3" t="s">
        <v>15</v>
      </c>
      <c r="D26" s="3" t="s">
        <v>26</v>
      </c>
      <c r="E26" s="3" t="s">
        <v>16</v>
      </c>
      <c r="F26" s="3">
        <v>8</v>
      </c>
      <c r="G26" s="3">
        <v>32024</v>
      </c>
      <c r="H26" s="3">
        <v>256192</v>
      </c>
      <c r="I26" s="3" t="s">
        <v>14</v>
      </c>
      <c r="J26" s="3">
        <f t="shared" si="0"/>
        <v>256192</v>
      </c>
      <c r="K26" s="3" t="str">
        <f t="shared" si="1"/>
        <v>Yes</v>
      </c>
      <c r="L26" s="3" t="str">
        <f t="shared" si="2"/>
        <v>Standard</v>
      </c>
    </row>
    <row r="27" spans="1:12">
      <c r="A27" s="2">
        <v>45937</v>
      </c>
      <c r="B27" s="2" t="str">
        <f>TEXT(Table1[[#This Row],[Date]],"mmm")</f>
        <v>Oct</v>
      </c>
      <c r="C27" s="3" t="s">
        <v>24</v>
      </c>
      <c r="D27" s="3" t="s">
        <v>25</v>
      </c>
      <c r="E27" s="3" t="s">
        <v>13</v>
      </c>
      <c r="F27" s="3">
        <v>4</v>
      </c>
      <c r="G27" s="3">
        <v>43675</v>
      </c>
      <c r="H27" s="3">
        <v>174700</v>
      </c>
      <c r="I27" s="3" t="s">
        <v>20</v>
      </c>
      <c r="J27" s="3">
        <f t="shared" si="0"/>
        <v>174700</v>
      </c>
      <c r="K27" s="3" t="str">
        <f t="shared" si="1"/>
        <v>No</v>
      </c>
      <c r="L27" s="3" t="str">
        <f t="shared" si="2"/>
        <v>Low</v>
      </c>
    </row>
    <row r="28" spans="1:12">
      <c r="A28" s="2">
        <v>45840</v>
      </c>
      <c r="B28" s="2" t="str">
        <f>TEXT(Table1[[#This Row],[Date]],"mmm")</f>
        <v>Jul</v>
      </c>
      <c r="C28" s="3" t="s">
        <v>24</v>
      </c>
      <c r="D28" s="3" t="s">
        <v>25</v>
      </c>
      <c r="E28" s="3" t="s">
        <v>23</v>
      </c>
      <c r="F28" s="3">
        <v>6</v>
      </c>
      <c r="G28" s="3">
        <v>5777</v>
      </c>
      <c r="H28" s="3">
        <v>34662</v>
      </c>
      <c r="I28" s="3" t="s">
        <v>20</v>
      </c>
      <c r="J28" s="3">
        <f t="shared" si="0"/>
        <v>34662</v>
      </c>
      <c r="K28" s="3" t="str">
        <f t="shared" si="1"/>
        <v>No</v>
      </c>
      <c r="L28" s="3" t="str">
        <f t="shared" si="2"/>
        <v>Low</v>
      </c>
    </row>
    <row r="29" spans="1:12">
      <c r="A29" s="2">
        <v>45780</v>
      </c>
      <c r="B29" s="2" t="str">
        <f>TEXT(Table1[[#This Row],[Date]],"mmm")</f>
        <v>May</v>
      </c>
      <c r="C29" s="3" t="s">
        <v>24</v>
      </c>
      <c r="D29" s="3" t="s">
        <v>25</v>
      </c>
      <c r="E29" s="3" t="s">
        <v>21</v>
      </c>
      <c r="F29" s="3">
        <v>8</v>
      </c>
      <c r="G29" s="3">
        <v>30749</v>
      </c>
      <c r="H29" s="3">
        <v>245992</v>
      </c>
      <c r="I29" s="3" t="s">
        <v>14</v>
      </c>
      <c r="J29" s="3">
        <f t="shared" si="0"/>
        <v>245992</v>
      </c>
      <c r="K29" s="3" t="str">
        <f t="shared" si="1"/>
        <v>Yes</v>
      </c>
      <c r="L29" s="3" t="str">
        <f t="shared" si="2"/>
        <v>Standard</v>
      </c>
    </row>
    <row r="30" spans="1:12">
      <c r="A30" s="2">
        <v>45750</v>
      </c>
      <c r="B30" s="2" t="str">
        <f>TEXT(Table1[[#This Row],[Date]],"mmm")</f>
        <v>Apr</v>
      </c>
      <c r="C30" s="3" t="s">
        <v>15</v>
      </c>
      <c r="D30" s="3" t="s">
        <v>25</v>
      </c>
      <c r="E30" s="3" t="s">
        <v>19</v>
      </c>
      <c r="F30" s="3">
        <v>3</v>
      </c>
      <c r="G30" s="3">
        <v>16338</v>
      </c>
      <c r="H30" s="3">
        <v>49014</v>
      </c>
      <c r="I30" s="3" t="s">
        <v>20</v>
      </c>
      <c r="J30" s="3">
        <f t="shared" si="0"/>
        <v>49014</v>
      </c>
      <c r="K30" s="3" t="str">
        <f t="shared" si="1"/>
        <v>No</v>
      </c>
      <c r="L30" s="3" t="str">
        <f t="shared" si="2"/>
        <v>Low</v>
      </c>
    </row>
    <row r="31" spans="1:12">
      <c r="A31" s="2">
        <v>45749</v>
      </c>
      <c r="B31" s="2" t="str">
        <f>TEXT(Table1[[#This Row],[Date]],"mmm")</f>
        <v>Apr</v>
      </c>
      <c r="C31" s="3" t="s">
        <v>15</v>
      </c>
      <c r="D31" s="3" t="s">
        <v>18</v>
      </c>
      <c r="E31" s="3" t="s">
        <v>16</v>
      </c>
      <c r="F31" s="3">
        <v>16</v>
      </c>
      <c r="G31" s="3">
        <v>3491</v>
      </c>
      <c r="H31" s="3">
        <v>55856</v>
      </c>
      <c r="I31" s="3" t="s">
        <v>20</v>
      </c>
      <c r="J31" s="3">
        <f t="shared" si="0"/>
        <v>55856</v>
      </c>
      <c r="K31" s="3" t="str">
        <f t="shared" si="1"/>
        <v>No</v>
      </c>
      <c r="L31" s="3" t="str">
        <f t="shared" si="2"/>
        <v>Low</v>
      </c>
    </row>
    <row r="32" spans="1:12">
      <c r="A32" s="2">
        <v>45925</v>
      </c>
      <c r="B32" s="2" t="str">
        <f>TEXT(Table1[[#This Row],[Date]],"mmm")</f>
        <v>Sep</v>
      </c>
      <c r="C32" s="3" t="s">
        <v>17</v>
      </c>
      <c r="D32" s="3" t="s">
        <v>29</v>
      </c>
      <c r="E32" s="3" t="s">
        <v>19</v>
      </c>
      <c r="F32" s="3">
        <v>3</v>
      </c>
      <c r="G32" s="3">
        <v>28236</v>
      </c>
      <c r="H32" s="3">
        <v>84708</v>
      </c>
      <c r="I32" s="3" t="s">
        <v>20</v>
      </c>
      <c r="J32" s="3">
        <f t="shared" si="0"/>
        <v>84708</v>
      </c>
      <c r="K32" s="3" t="str">
        <f t="shared" si="1"/>
        <v>No</v>
      </c>
      <c r="L32" s="3" t="str">
        <f t="shared" si="2"/>
        <v>Low</v>
      </c>
    </row>
    <row r="33" spans="1:12">
      <c r="A33" s="2">
        <v>45707</v>
      </c>
      <c r="B33" s="2" t="str">
        <f>TEXT(Table1[[#This Row],[Date]],"mmm")</f>
        <v>Feb</v>
      </c>
      <c r="C33" s="3" t="s">
        <v>17</v>
      </c>
      <c r="D33" s="3" t="s">
        <v>29</v>
      </c>
      <c r="E33" s="3" t="s">
        <v>21</v>
      </c>
      <c r="F33" s="3">
        <v>18</v>
      </c>
      <c r="G33" s="3">
        <v>49096</v>
      </c>
      <c r="H33" s="3">
        <v>883728</v>
      </c>
      <c r="I33" s="3" t="s">
        <v>14</v>
      </c>
      <c r="J33" s="3">
        <f t="shared" si="0"/>
        <v>883728</v>
      </c>
      <c r="K33" s="3" t="str">
        <f t="shared" si="1"/>
        <v>Yes</v>
      </c>
      <c r="L33" s="3" t="str">
        <f t="shared" si="2"/>
        <v>Premium</v>
      </c>
    </row>
    <row r="34" spans="1:12">
      <c r="A34" s="2">
        <v>45863</v>
      </c>
      <c r="B34" s="2" t="str">
        <f>TEXT(Table1[[#This Row],[Date]],"mmm")</f>
        <v>Jul</v>
      </c>
      <c r="C34" s="3" t="s">
        <v>15</v>
      </c>
      <c r="D34" s="3" t="s">
        <v>25</v>
      </c>
      <c r="E34" s="3" t="s">
        <v>19</v>
      </c>
      <c r="F34" s="3">
        <v>14</v>
      </c>
      <c r="G34" s="3">
        <v>15599</v>
      </c>
      <c r="H34" s="3">
        <v>218386</v>
      </c>
      <c r="I34" s="3" t="s">
        <v>14</v>
      </c>
      <c r="J34" s="3">
        <f t="shared" si="0"/>
        <v>218386</v>
      </c>
      <c r="K34" s="3" t="str">
        <f t="shared" si="1"/>
        <v>Yes</v>
      </c>
      <c r="L34" s="3" t="str">
        <f t="shared" si="2"/>
        <v>Standard</v>
      </c>
    </row>
    <row r="35" spans="1:12">
      <c r="A35" s="2">
        <v>45940</v>
      </c>
      <c r="B35" s="2" t="str">
        <f>TEXT(Table1[[#This Row],[Date]],"mmm")</f>
        <v>Oct</v>
      </c>
      <c r="C35" s="3" t="s">
        <v>24</v>
      </c>
      <c r="D35" s="3" t="s">
        <v>29</v>
      </c>
      <c r="E35" s="3" t="s">
        <v>28</v>
      </c>
      <c r="F35" s="3">
        <v>18</v>
      </c>
      <c r="G35" s="3">
        <v>20508</v>
      </c>
      <c r="H35" s="3">
        <v>369144</v>
      </c>
      <c r="I35" s="3" t="s">
        <v>14</v>
      </c>
      <c r="J35" s="3">
        <f t="shared" si="0"/>
        <v>369144</v>
      </c>
      <c r="K35" s="3" t="str">
        <f t="shared" si="1"/>
        <v>Yes</v>
      </c>
      <c r="L35" s="3" t="str">
        <f t="shared" si="2"/>
        <v>Standard</v>
      </c>
    </row>
    <row r="36" spans="1:12">
      <c r="A36" s="2">
        <v>45919</v>
      </c>
      <c r="B36" s="2" t="str">
        <f>TEXT(Table1[[#This Row],[Date]],"mmm")</f>
        <v>Sep</v>
      </c>
      <c r="C36" s="3" t="s">
        <v>24</v>
      </c>
      <c r="D36" s="3" t="s">
        <v>29</v>
      </c>
      <c r="E36" s="3" t="s">
        <v>16</v>
      </c>
      <c r="F36" s="3">
        <v>2</v>
      </c>
      <c r="G36" s="3">
        <v>4051</v>
      </c>
      <c r="H36" s="3">
        <v>8102</v>
      </c>
      <c r="I36" s="3" t="s">
        <v>20</v>
      </c>
      <c r="J36" s="3">
        <f t="shared" si="0"/>
        <v>8102</v>
      </c>
      <c r="K36" s="3" t="str">
        <f t="shared" si="1"/>
        <v>No</v>
      </c>
      <c r="L36" s="3" t="str">
        <f t="shared" si="2"/>
        <v>Low</v>
      </c>
    </row>
    <row r="37" spans="1:12">
      <c r="A37" s="2">
        <v>45839</v>
      </c>
      <c r="B37" s="2" t="str">
        <f>TEXT(Table1[[#This Row],[Date]],"mmm")</f>
        <v>Jul</v>
      </c>
      <c r="C37" s="3" t="s">
        <v>17</v>
      </c>
      <c r="D37" s="3" t="s">
        <v>25</v>
      </c>
      <c r="E37" s="3" t="s">
        <v>16</v>
      </c>
      <c r="F37" s="3">
        <v>3</v>
      </c>
      <c r="G37" s="3">
        <v>49747</v>
      </c>
      <c r="H37" s="3">
        <v>149241</v>
      </c>
      <c r="I37" s="3" t="s">
        <v>20</v>
      </c>
      <c r="J37" s="3">
        <f t="shared" si="0"/>
        <v>149241</v>
      </c>
      <c r="K37" s="3" t="str">
        <f t="shared" si="1"/>
        <v>No</v>
      </c>
      <c r="L37" s="3" t="str">
        <f t="shared" si="2"/>
        <v>Low</v>
      </c>
    </row>
    <row r="38" spans="1:12">
      <c r="A38" s="2">
        <v>45857</v>
      </c>
      <c r="B38" s="2" t="str">
        <f>TEXT(Table1[[#This Row],[Date]],"mmm")</f>
        <v>Jul</v>
      </c>
      <c r="C38" s="3" t="s">
        <v>15</v>
      </c>
      <c r="D38" s="3" t="s">
        <v>29</v>
      </c>
      <c r="E38" s="3" t="s">
        <v>21</v>
      </c>
      <c r="F38" s="3">
        <v>16</v>
      </c>
      <c r="G38" s="3">
        <v>22606</v>
      </c>
      <c r="H38" s="3">
        <v>361696</v>
      </c>
      <c r="I38" s="3" t="s">
        <v>14</v>
      </c>
      <c r="J38" s="3">
        <f t="shared" si="0"/>
        <v>361696</v>
      </c>
      <c r="K38" s="3" t="str">
        <f t="shared" si="1"/>
        <v>Yes</v>
      </c>
      <c r="L38" s="3" t="str">
        <f t="shared" si="2"/>
        <v>Standard</v>
      </c>
    </row>
    <row r="39" spans="1:12">
      <c r="A39" s="2">
        <v>45750</v>
      </c>
      <c r="B39" s="2" t="str">
        <f>TEXT(Table1[[#This Row],[Date]],"mmm")</f>
        <v>Apr</v>
      </c>
      <c r="C39" s="3" t="s">
        <v>17</v>
      </c>
      <c r="D39" s="3" t="s">
        <v>26</v>
      </c>
      <c r="E39" s="3" t="s">
        <v>13</v>
      </c>
      <c r="F39" s="3">
        <v>9</v>
      </c>
      <c r="G39" s="3">
        <v>22699</v>
      </c>
      <c r="H39" s="3">
        <v>204291</v>
      </c>
      <c r="I39" s="3" t="s">
        <v>14</v>
      </c>
      <c r="J39" s="3">
        <f t="shared" si="0"/>
        <v>204291</v>
      </c>
      <c r="K39" s="3" t="str">
        <f t="shared" si="1"/>
        <v>Yes</v>
      </c>
      <c r="L39" s="3" t="str">
        <f t="shared" si="2"/>
        <v>Standard</v>
      </c>
    </row>
    <row r="40" spans="1:12">
      <c r="A40" s="2">
        <v>45885</v>
      </c>
      <c r="B40" s="2" t="str">
        <f>TEXT(Table1[[#This Row],[Date]],"mmm")</f>
        <v>Aug</v>
      </c>
      <c r="C40" s="3" t="s">
        <v>17</v>
      </c>
      <c r="D40" s="3" t="s">
        <v>12</v>
      </c>
      <c r="E40" s="3" t="s">
        <v>28</v>
      </c>
      <c r="F40" s="3">
        <v>4</v>
      </c>
      <c r="G40" s="3">
        <v>1876</v>
      </c>
      <c r="H40" s="3">
        <v>7504</v>
      </c>
      <c r="I40" s="3" t="s">
        <v>20</v>
      </c>
      <c r="J40" s="3">
        <f t="shared" si="0"/>
        <v>7504</v>
      </c>
      <c r="K40" s="3" t="str">
        <f t="shared" si="1"/>
        <v>No</v>
      </c>
      <c r="L40" s="3" t="str">
        <f t="shared" si="2"/>
        <v>Low</v>
      </c>
    </row>
    <row r="41" spans="1:12">
      <c r="A41" s="2">
        <v>45736</v>
      </c>
      <c r="B41" s="2" t="str">
        <f>TEXT(Table1[[#This Row],[Date]],"mmm")</f>
        <v>Mar</v>
      </c>
      <c r="C41" s="3" t="s">
        <v>11</v>
      </c>
      <c r="D41" s="3" t="s">
        <v>12</v>
      </c>
      <c r="E41" s="3" t="s">
        <v>23</v>
      </c>
      <c r="F41" s="3">
        <v>1</v>
      </c>
      <c r="G41" s="3">
        <v>33093</v>
      </c>
      <c r="H41" s="3">
        <v>33093</v>
      </c>
      <c r="I41" s="3" t="s">
        <v>20</v>
      </c>
      <c r="J41" s="3">
        <f t="shared" si="0"/>
        <v>33093</v>
      </c>
      <c r="K41" s="3" t="str">
        <f t="shared" si="1"/>
        <v>No</v>
      </c>
      <c r="L41" s="3" t="str">
        <f t="shared" si="2"/>
        <v>Low</v>
      </c>
    </row>
    <row r="42" spans="1:12">
      <c r="A42" s="2">
        <v>45672</v>
      </c>
      <c r="B42" s="2" t="str">
        <f>TEXT(Table1[[#This Row],[Date]],"mmm")</f>
        <v>Jan</v>
      </c>
      <c r="C42" s="3" t="s">
        <v>11</v>
      </c>
      <c r="D42" s="3" t="s">
        <v>25</v>
      </c>
      <c r="E42" s="3" t="s">
        <v>19</v>
      </c>
      <c r="F42" s="3">
        <v>4</v>
      </c>
      <c r="G42" s="3">
        <v>5142</v>
      </c>
      <c r="H42" s="3">
        <v>20568</v>
      </c>
      <c r="I42" s="3" t="s">
        <v>20</v>
      </c>
      <c r="J42" s="3">
        <f t="shared" si="0"/>
        <v>20568</v>
      </c>
      <c r="K42" s="3" t="str">
        <f t="shared" si="1"/>
        <v>No</v>
      </c>
      <c r="L42" s="3" t="str">
        <f t="shared" si="2"/>
        <v>Low</v>
      </c>
    </row>
    <row r="43" spans="1:12">
      <c r="A43" s="2">
        <v>45810</v>
      </c>
      <c r="B43" s="2" t="str">
        <f>TEXT(Table1[[#This Row],[Date]],"mmm")</f>
        <v>Jun</v>
      </c>
      <c r="C43" s="3" t="s">
        <v>11</v>
      </c>
      <c r="D43" s="3" t="s">
        <v>18</v>
      </c>
      <c r="E43" s="3" t="s">
        <v>27</v>
      </c>
      <c r="F43" s="3">
        <v>1</v>
      </c>
      <c r="G43" s="3">
        <v>16202</v>
      </c>
      <c r="H43" s="3">
        <v>16202</v>
      </c>
      <c r="I43" s="3" t="s">
        <v>20</v>
      </c>
      <c r="J43" s="3">
        <f t="shared" si="0"/>
        <v>16202</v>
      </c>
      <c r="K43" s="3" t="str">
        <f t="shared" si="1"/>
        <v>No</v>
      </c>
      <c r="L43" s="3" t="str">
        <f t="shared" si="2"/>
        <v>Low</v>
      </c>
    </row>
    <row r="44" spans="1:12">
      <c r="A44" s="2">
        <v>45713</v>
      </c>
      <c r="B44" s="2" t="str">
        <f>TEXT(Table1[[#This Row],[Date]],"mmm")</f>
        <v>Feb</v>
      </c>
      <c r="C44" s="3" t="s">
        <v>24</v>
      </c>
      <c r="D44" s="3" t="s">
        <v>25</v>
      </c>
      <c r="E44" s="3" t="s">
        <v>19</v>
      </c>
      <c r="F44" s="3">
        <v>14</v>
      </c>
      <c r="G44" s="3">
        <v>40734</v>
      </c>
      <c r="H44" s="3">
        <v>199862.88421052601</v>
      </c>
      <c r="I44" s="3" t="s">
        <v>20</v>
      </c>
      <c r="J44" s="3">
        <f t="shared" si="0"/>
        <v>570276</v>
      </c>
      <c r="K44" s="3" t="str">
        <f t="shared" si="1"/>
        <v>No</v>
      </c>
      <c r="L44" s="3" t="str">
        <f t="shared" si="2"/>
        <v>Low</v>
      </c>
    </row>
    <row r="45" spans="1:12">
      <c r="A45" s="2">
        <v>45891</v>
      </c>
      <c r="B45" s="2" t="str">
        <f>TEXT(Table1[[#This Row],[Date]],"mmm")</f>
        <v>Aug</v>
      </c>
      <c r="C45" s="3" t="s">
        <v>15</v>
      </c>
      <c r="D45" s="3" t="s">
        <v>18</v>
      </c>
      <c r="E45" s="3" t="s">
        <v>19</v>
      </c>
      <c r="F45" s="3">
        <v>16</v>
      </c>
      <c r="G45" s="3">
        <v>8079</v>
      </c>
      <c r="H45" s="3">
        <v>129264</v>
      </c>
      <c r="I45" s="3" t="s">
        <v>20</v>
      </c>
      <c r="J45" s="3">
        <f t="shared" si="0"/>
        <v>129264</v>
      </c>
      <c r="K45" s="3" t="str">
        <f t="shared" si="1"/>
        <v>No</v>
      </c>
      <c r="L45" s="3" t="str">
        <f t="shared" si="2"/>
        <v>Low</v>
      </c>
    </row>
    <row r="46" spans="1:12">
      <c r="A46" s="2">
        <v>45707</v>
      </c>
      <c r="B46" s="2" t="str">
        <f>TEXT(Table1[[#This Row],[Date]],"mmm")</f>
        <v>Feb</v>
      </c>
      <c r="C46" s="3" t="s">
        <v>15</v>
      </c>
      <c r="D46" s="3" t="s">
        <v>12</v>
      </c>
      <c r="E46" s="3" t="s">
        <v>23</v>
      </c>
      <c r="F46" s="3">
        <v>8</v>
      </c>
      <c r="G46" s="3">
        <v>8987</v>
      </c>
      <c r="H46" s="3">
        <v>71896</v>
      </c>
      <c r="I46" s="3" t="s">
        <v>20</v>
      </c>
      <c r="J46" s="3">
        <f t="shared" si="0"/>
        <v>71896</v>
      </c>
      <c r="K46" s="3" t="str">
        <f t="shared" si="1"/>
        <v>No</v>
      </c>
      <c r="L46" s="3" t="str">
        <f t="shared" si="2"/>
        <v>Low</v>
      </c>
    </row>
    <row r="47" spans="1:12">
      <c r="A47" s="2">
        <v>45733</v>
      </c>
      <c r="B47" s="2" t="str">
        <f>TEXT(Table1[[#This Row],[Date]],"mmm")</f>
        <v>Mar</v>
      </c>
      <c r="C47" s="3" t="s">
        <v>15</v>
      </c>
      <c r="D47" s="3" t="s">
        <v>25</v>
      </c>
      <c r="E47" s="3" t="s">
        <v>19</v>
      </c>
      <c r="F47" s="3">
        <v>7</v>
      </c>
      <c r="G47" s="3">
        <v>40567</v>
      </c>
      <c r="H47" s="3">
        <v>199862.88421052601</v>
      </c>
      <c r="I47" s="3" t="s">
        <v>20</v>
      </c>
      <c r="J47" s="3">
        <f t="shared" si="0"/>
        <v>283969</v>
      </c>
      <c r="K47" s="3" t="str">
        <f t="shared" si="1"/>
        <v>No</v>
      </c>
      <c r="L47" s="3" t="str">
        <f t="shared" si="2"/>
        <v>Low</v>
      </c>
    </row>
    <row r="48" spans="1:12">
      <c r="A48" s="2">
        <v>45779</v>
      </c>
      <c r="B48" s="2" t="str">
        <f>TEXT(Table1[[#This Row],[Date]],"mmm")</f>
        <v>May</v>
      </c>
      <c r="C48" s="3" t="s">
        <v>15</v>
      </c>
      <c r="D48" s="3" t="s">
        <v>22</v>
      </c>
      <c r="E48" s="3" t="s">
        <v>28</v>
      </c>
      <c r="F48" s="3">
        <v>3</v>
      </c>
      <c r="G48" s="3">
        <v>29940</v>
      </c>
      <c r="H48" s="3">
        <v>89820</v>
      </c>
      <c r="I48" s="3" t="s">
        <v>20</v>
      </c>
      <c r="J48" s="3">
        <f t="shared" si="0"/>
        <v>89820</v>
      </c>
      <c r="K48" s="3" t="str">
        <f t="shared" si="1"/>
        <v>No</v>
      </c>
      <c r="L48" s="3" t="str">
        <f t="shared" si="2"/>
        <v>Low</v>
      </c>
    </row>
    <row r="49" spans="1:12">
      <c r="A49" s="2">
        <v>45832</v>
      </c>
      <c r="B49" s="2" t="str">
        <f>TEXT(Table1[[#This Row],[Date]],"mmm")</f>
        <v>Jun</v>
      </c>
      <c r="C49" s="3" t="s">
        <v>11</v>
      </c>
      <c r="D49" s="3" t="s">
        <v>26</v>
      </c>
      <c r="E49" s="3" t="s">
        <v>28</v>
      </c>
      <c r="F49" s="3">
        <v>17</v>
      </c>
      <c r="G49" s="3">
        <v>38233</v>
      </c>
      <c r="H49" s="3">
        <v>649961</v>
      </c>
      <c r="I49" s="3" t="s">
        <v>14</v>
      </c>
      <c r="J49" s="3">
        <f t="shared" si="0"/>
        <v>649961</v>
      </c>
      <c r="K49" s="3" t="str">
        <f t="shared" si="1"/>
        <v>Yes</v>
      </c>
      <c r="L49" s="3" t="str">
        <f t="shared" si="2"/>
        <v>Premium</v>
      </c>
    </row>
    <row r="50" spans="1:12">
      <c r="A50" s="2">
        <v>45909</v>
      </c>
      <c r="B50" s="2" t="str">
        <f>TEXT(Table1[[#This Row],[Date]],"mmm")</f>
        <v>Sep</v>
      </c>
      <c r="C50" s="3" t="s">
        <v>24</v>
      </c>
      <c r="D50" s="3" t="s">
        <v>29</v>
      </c>
      <c r="E50" s="3" t="s">
        <v>16</v>
      </c>
      <c r="F50" s="3">
        <v>1</v>
      </c>
      <c r="G50" s="3">
        <v>18019</v>
      </c>
      <c r="H50" s="3">
        <v>18019</v>
      </c>
      <c r="I50" s="3" t="s">
        <v>20</v>
      </c>
      <c r="J50" s="3">
        <f t="shared" si="0"/>
        <v>18019</v>
      </c>
      <c r="K50" s="3" t="str">
        <f t="shared" si="1"/>
        <v>No</v>
      </c>
      <c r="L50" s="3" t="str">
        <f t="shared" si="2"/>
        <v>Low</v>
      </c>
    </row>
    <row r="51" spans="1:12">
      <c r="A51" s="2">
        <v>45696</v>
      </c>
      <c r="B51" s="2" t="str">
        <f>TEXT(Table1[[#This Row],[Date]],"mmm")</f>
        <v>Feb</v>
      </c>
      <c r="C51" s="3" t="s">
        <v>24</v>
      </c>
      <c r="D51" s="3" t="s">
        <v>18</v>
      </c>
      <c r="E51" s="3" t="s">
        <v>21</v>
      </c>
      <c r="F51" s="3">
        <v>16</v>
      </c>
      <c r="G51" s="3">
        <v>47185</v>
      </c>
      <c r="H51" s="3">
        <v>754960</v>
      </c>
      <c r="I51" s="3" t="s">
        <v>14</v>
      </c>
      <c r="J51" s="3">
        <f t="shared" si="0"/>
        <v>754960</v>
      </c>
      <c r="K51" s="3" t="str">
        <f t="shared" si="1"/>
        <v>Yes</v>
      </c>
      <c r="L51" s="3" t="str">
        <f t="shared" si="2"/>
        <v>Premium</v>
      </c>
    </row>
    <row r="52" spans="1:12">
      <c r="A52" s="2">
        <v>45835</v>
      </c>
      <c r="B52" s="2" t="str">
        <f>TEXT(Table1[[#This Row],[Date]],"mmm")</f>
        <v>Jun</v>
      </c>
      <c r="C52" s="3" t="s">
        <v>11</v>
      </c>
      <c r="D52" s="3" t="s">
        <v>22</v>
      </c>
      <c r="E52" s="3" t="s">
        <v>13</v>
      </c>
      <c r="F52" s="3">
        <v>12</v>
      </c>
      <c r="G52" s="3">
        <v>19077</v>
      </c>
      <c r="H52" s="3">
        <v>228924</v>
      </c>
      <c r="I52" s="3" t="s">
        <v>14</v>
      </c>
      <c r="J52" s="3">
        <f t="shared" si="0"/>
        <v>228924</v>
      </c>
      <c r="K52" s="3" t="str">
        <f t="shared" si="1"/>
        <v>Yes</v>
      </c>
      <c r="L52" s="3" t="str">
        <f t="shared" si="2"/>
        <v>Standard</v>
      </c>
    </row>
    <row r="53" spans="1:12">
      <c r="A53" s="2">
        <v>45684</v>
      </c>
      <c r="B53" s="2" t="str">
        <f>TEXT(Table1[[#This Row],[Date]],"mmm")</f>
        <v>Jan</v>
      </c>
      <c r="C53" s="3" t="s">
        <v>24</v>
      </c>
      <c r="D53" s="3" t="s">
        <v>29</v>
      </c>
      <c r="E53" s="3" t="s">
        <v>27</v>
      </c>
      <c r="F53" s="3">
        <v>19</v>
      </c>
      <c r="G53" s="3">
        <v>27258</v>
      </c>
      <c r="H53" s="3">
        <v>517902</v>
      </c>
      <c r="I53" s="3" t="s">
        <v>14</v>
      </c>
      <c r="J53" s="3">
        <f t="shared" si="0"/>
        <v>517902</v>
      </c>
      <c r="K53" s="3" t="str">
        <f t="shared" si="1"/>
        <v>Yes</v>
      </c>
      <c r="L53" s="3" t="str">
        <f t="shared" si="2"/>
        <v>Premium</v>
      </c>
    </row>
    <row r="54" spans="1:12">
      <c r="A54" s="2">
        <v>45956</v>
      </c>
      <c r="B54" s="2" t="str">
        <f>TEXT(Table1[[#This Row],[Date]],"mmm")</f>
        <v>Oct</v>
      </c>
      <c r="C54" s="3" t="s">
        <v>11</v>
      </c>
      <c r="D54" s="3" t="s">
        <v>29</v>
      </c>
      <c r="E54" s="3" t="s">
        <v>19</v>
      </c>
      <c r="F54" s="3">
        <v>14</v>
      </c>
      <c r="G54" s="3">
        <v>22136</v>
      </c>
      <c r="H54" s="3">
        <v>309904</v>
      </c>
      <c r="I54" s="3" t="s">
        <v>14</v>
      </c>
      <c r="J54" s="3">
        <f t="shared" si="0"/>
        <v>309904</v>
      </c>
      <c r="K54" s="3" t="str">
        <f t="shared" si="1"/>
        <v>Yes</v>
      </c>
      <c r="L54" s="3" t="str">
        <f t="shared" si="2"/>
        <v>Standard</v>
      </c>
    </row>
    <row r="55" spans="1:12">
      <c r="A55" s="2">
        <v>45916</v>
      </c>
      <c r="B55" s="2" t="str">
        <f>TEXT(Table1[[#This Row],[Date]],"mmm")</f>
        <v>Sep</v>
      </c>
      <c r="C55" s="3" t="s">
        <v>15</v>
      </c>
      <c r="D55" s="3" t="s">
        <v>25</v>
      </c>
      <c r="E55" s="3" t="s">
        <v>19</v>
      </c>
      <c r="F55" s="3">
        <v>6</v>
      </c>
      <c r="G55" s="3">
        <v>9311</v>
      </c>
      <c r="H55" s="3">
        <v>55866</v>
      </c>
      <c r="I55" s="3" t="s">
        <v>20</v>
      </c>
      <c r="J55" s="3">
        <f t="shared" si="0"/>
        <v>55866</v>
      </c>
      <c r="K55" s="3" t="str">
        <f t="shared" si="1"/>
        <v>No</v>
      </c>
      <c r="L55" s="3" t="str">
        <f t="shared" si="2"/>
        <v>Low</v>
      </c>
    </row>
    <row r="56" spans="1:12">
      <c r="A56" s="2">
        <v>45681</v>
      </c>
      <c r="B56" s="2" t="str">
        <f>TEXT(Table1[[#This Row],[Date]],"mmm")</f>
        <v>Jan</v>
      </c>
      <c r="C56" s="3" t="s">
        <v>11</v>
      </c>
      <c r="D56" s="3" t="s">
        <v>29</v>
      </c>
      <c r="E56" s="3" t="s">
        <v>23</v>
      </c>
      <c r="F56" s="3">
        <v>6</v>
      </c>
      <c r="G56" s="3">
        <v>18214</v>
      </c>
      <c r="H56" s="3">
        <v>109284</v>
      </c>
      <c r="I56" s="3" t="s">
        <v>20</v>
      </c>
      <c r="J56" s="3">
        <f t="shared" si="0"/>
        <v>109284</v>
      </c>
      <c r="K56" s="3" t="str">
        <f t="shared" si="1"/>
        <v>No</v>
      </c>
      <c r="L56" s="3" t="str">
        <f t="shared" si="2"/>
        <v>Low</v>
      </c>
    </row>
    <row r="57" spans="1:12">
      <c r="A57" s="2">
        <v>45896</v>
      </c>
      <c r="B57" s="2" t="str">
        <f>TEXT(Table1[[#This Row],[Date]],"mmm")</f>
        <v>Aug</v>
      </c>
      <c r="C57" s="3" t="s">
        <v>15</v>
      </c>
      <c r="D57" s="3" t="s">
        <v>26</v>
      </c>
      <c r="E57" s="3" t="s">
        <v>21</v>
      </c>
      <c r="F57" s="3">
        <v>13</v>
      </c>
      <c r="G57" s="3">
        <v>15098</v>
      </c>
      <c r="H57" s="3">
        <v>196274</v>
      </c>
      <c r="I57" s="3" t="s">
        <v>20</v>
      </c>
      <c r="J57" s="3">
        <f t="shared" si="0"/>
        <v>196274</v>
      </c>
      <c r="K57" s="3" t="str">
        <f t="shared" si="1"/>
        <v>No</v>
      </c>
      <c r="L57" s="3" t="str">
        <f t="shared" si="2"/>
        <v>Low</v>
      </c>
    </row>
    <row r="58" spans="1:12">
      <c r="A58" s="2">
        <v>45766</v>
      </c>
      <c r="B58" s="2" t="str">
        <f>TEXT(Table1[[#This Row],[Date]],"mmm")</f>
        <v>Apr</v>
      </c>
      <c r="C58" s="3" t="s">
        <v>15</v>
      </c>
      <c r="D58" s="3" t="s">
        <v>22</v>
      </c>
      <c r="E58" s="3" t="s">
        <v>28</v>
      </c>
      <c r="F58" s="3">
        <v>19</v>
      </c>
      <c r="G58" s="3">
        <v>29251</v>
      </c>
      <c r="H58" s="3">
        <v>555769</v>
      </c>
      <c r="I58" s="3" t="s">
        <v>14</v>
      </c>
      <c r="J58" s="3">
        <f t="shared" si="0"/>
        <v>555769</v>
      </c>
      <c r="K58" s="3" t="str">
        <f t="shared" si="1"/>
        <v>Yes</v>
      </c>
      <c r="L58" s="3" t="str">
        <f t="shared" si="2"/>
        <v>Premium</v>
      </c>
    </row>
    <row r="59" spans="1:12">
      <c r="A59" s="2">
        <v>45797</v>
      </c>
      <c r="B59" s="2" t="str">
        <f>TEXT(Table1[[#This Row],[Date]],"mmm")</f>
        <v>May</v>
      </c>
      <c r="C59" s="3" t="s">
        <v>17</v>
      </c>
      <c r="D59" s="3" t="s">
        <v>29</v>
      </c>
      <c r="E59" s="3" t="s">
        <v>27</v>
      </c>
      <c r="F59" s="3">
        <v>8</v>
      </c>
      <c r="G59" s="3">
        <v>38945</v>
      </c>
      <c r="H59" s="3">
        <v>311560</v>
      </c>
      <c r="I59" s="3" t="s">
        <v>14</v>
      </c>
      <c r="J59" s="3">
        <f t="shared" si="0"/>
        <v>311560</v>
      </c>
      <c r="K59" s="3" t="str">
        <f t="shared" si="1"/>
        <v>Yes</v>
      </c>
      <c r="L59" s="3" t="str">
        <f t="shared" si="2"/>
        <v>Standard</v>
      </c>
    </row>
    <row r="60" spans="1:12">
      <c r="A60" s="2">
        <v>45820</v>
      </c>
      <c r="B60" s="2" t="str">
        <f>TEXT(Table1[[#This Row],[Date]],"mmm")</f>
        <v>Jun</v>
      </c>
      <c r="C60" s="3" t="s">
        <v>11</v>
      </c>
      <c r="D60" s="3" t="s">
        <v>25</v>
      </c>
      <c r="E60" s="3" t="s">
        <v>16</v>
      </c>
      <c r="F60" s="3">
        <v>2</v>
      </c>
      <c r="G60" s="3">
        <v>48030</v>
      </c>
      <c r="H60" s="3">
        <v>96060</v>
      </c>
      <c r="I60" s="3" t="s">
        <v>20</v>
      </c>
      <c r="J60" s="3">
        <f t="shared" si="0"/>
        <v>96060</v>
      </c>
      <c r="K60" s="3" t="str">
        <f t="shared" si="1"/>
        <v>No</v>
      </c>
      <c r="L60" s="3" t="str">
        <f t="shared" si="2"/>
        <v>Low</v>
      </c>
    </row>
    <row r="61" spans="1:12">
      <c r="A61" s="2">
        <v>45699</v>
      </c>
      <c r="B61" s="2" t="str">
        <f>TEXT(Table1[[#This Row],[Date]],"mmm")</f>
        <v>Feb</v>
      </c>
      <c r="C61" s="3" t="s">
        <v>17</v>
      </c>
      <c r="D61" s="3" t="s">
        <v>26</v>
      </c>
      <c r="E61" s="3" t="s">
        <v>28</v>
      </c>
      <c r="F61" s="3">
        <v>1</v>
      </c>
      <c r="G61" s="3">
        <v>26945</v>
      </c>
      <c r="H61" s="3">
        <v>26945</v>
      </c>
      <c r="I61" s="3" t="s">
        <v>20</v>
      </c>
      <c r="J61" s="3">
        <f t="shared" si="0"/>
        <v>26945</v>
      </c>
      <c r="K61" s="3" t="str">
        <f t="shared" si="1"/>
        <v>No</v>
      </c>
      <c r="L61" s="3" t="str">
        <f t="shared" si="2"/>
        <v>Low</v>
      </c>
    </row>
    <row r="62" spans="1:12">
      <c r="A62" s="2">
        <v>45859</v>
      </c>
      <c r="B62" s="2" t="str">
        <f>TEXT(Table1[[#This Row],[Date]],"mmm")</f>
        <v>Jul</v>
      </c>
      <c r="C62" s="3" t="s">
        <v>11</v>
      </c>
      <c r="D62" s="3" t="s">
        <v>12</v>
      </c>
      <c r="E62" s="3" t="s">
        <v>21</v>
      </c>
      <c r="F62" s="3">
        <v>15</v>
      </c>
      <c r="G62" s="3">
        <v>26316</v>
      </c>
      <c r="H62" s="3">
        <v>394740</v>
      </c>
      <c r="I62" s="3" t="s">
        <v>14</v>
      </c>
      <c r="J62" s="3">
        <f t="shared" si="0"/>
        <v>394740</v>
      </c>
      <c r="K62" s="3" t="str">
        <f t="shared" si="1"/>
        <v>Yes</v>
      </c>
      <c r="L62" s="3" t="str">
        <f t="shared" si="2"/>
        <v>Standard</v>
      </c>
    </row>
    <row r="63" spans="1:12">
      <c r="A63" s="2">
        <v>45860</v>
      </c>
      <c r="B63" s="2" t="str">
        <f>TEXT(Table1[[#This Row],[Date]],"mmm")</f>
        <v>Jul</v>
      </c>
      <c r="C63" s="3" t="s">
        <v>11</v>
      </c>
      <c r="D63" s="3" t="s">
        <v>22</v>
      </c>
      <c r="E63" s="3" t="s">
        <v>13</v>
      </c>
      <c r="F63" s="3">
        <v>1</v>
      </c>
      <c r="G63" s="3">
        <v>33217</v>
      </c>
      <c r="H63" s="3">
        <v>33217</v>
      </c>
      <c r="I63" s="3" t="s">
        <v>20</v>
      </c>
      <c r="J63" s="3">
        <f t="shared" si="0"/>
        <v>33217</v>
      </c>
      <c r="K63" s="3" t="str">
        <f t="shared" si="1"/>
        <v>No</v>
      </c>
      <c r="L63" s="3" t="str">
        <f t="shared" si="2"/>
        <v>Low</v>
      </c>
    </row>
    <row r="64" spans="1:12">
      <c r="A64" s="2">
        <v>45916</v>
      </c>
      <c r="B64" s="2" t="str">
        <f>TEXT(Table1[[#This Row],[Date]],"mmm")</f>
        <v>Sep</v>
      </c>
      <c r="C64" s="3" t="s">
        <v>17</v>
      </c>
      <c r="D64" s="3" t="s">
        <v>29</v>
      </c>
      <c r="E64" s="3" t="s">
        <v>16</v>
      </c>
      <c r="F64" s="3">
        <v>5</v>
      </c>
      <c r="G64" s="3">
        <v>9308</v>
      </c>
      <c r="H64" s="3">
        <v>46540</v>
      </c>
      <c r="I64" s="3" t="s">
        <v>20</v>
      </c>
      <c r="J64" s="3">
        <f t="shared" si="0"/>
        <v>46540</v>
      </c>
      <c r="K64" s="3" t="str">
        <f t="shared" si="1"/>
        <v>No</v>
      </c>
      <c r="L64" s="3" t="str">
        <f t="shared" si="2"/>
        <v>Low</v>
      </c>
    </row>
    <row r="65" spans="1:12">
      <c r="A65" s="2">
        <v>45713</v>
      </c>
      <c r="B65" s="2" t="str">
        <f>TEXT(Table1[[#This Row],[Date]],"mmm")</f>
        <v>Feb</v>
      </c>
      <c r="C65" s="3" t="s">
        <v>17</v>
      </c>
      <c r="D65" s="3" t="s">
        <v>25</v>
      </c>
      <c r="E65" s="3" t="s">
        <v>13</v>
      </c>
      <c r="F65" s="3">
        <v>16</v>
      </c>
      <c r="G65" s="3">
        <v>6949</v>
      </c>
      <c r="H65" s="3">
        <v>111184</v>
      </c>
      <c r="I65" s="3" t="s">
        <v>20</v>
      </c>
      <c r="J65" s="3">
        <f t="shared" si="0"/>
        <v>111184</v>
      </c>
      <c r="K65" s="3" t="str">
        <f t="shared" si="1"/>
        <v>No</v>
      </c>
      <c r="L65" s="3" t="str">
        <f t="shared" si="2"/>
        <v>Low</v>
      </c>
    </row>
    <row r="66" spans="1:12">
      <c r="A66" s="2">
        <v>45932</v>
      </c>
      <c r="B66" s="2" t="str">
        <f>TEXT(Table1[[#This Row],[Date]],"mmm")</f>
        <v>Oct</v>
      </c>
      <c r="C66" s="3" t="s">
        <v>11</v>
      </c>
      <c r="D66" s="3" t="s">
        <v>12</v>
      </c>
      <c r="E66" s="3" t="s">
        <v>23</v>
      </c>
      <c r="F66" s="3">
        <v>19</v>
      </c>
      <c r="G66" s="3">
        <v>2150</v>
      </c>
      <c r="H66" s="3">
        <v>40850</v>
      </c>
      <c r="I66" s="3" t="s">
        <v>20</v>
      </c>
      <c r="J66" s="3">
        <f t="shared" ref="J66:J101" si="3">F66*G66</f>
        <v>40850</v>
      </c>
      <c r="K66" s="3" t="str">
        <f t="shared" ref="K66:K101" si="4">IF(H66&gt;200000,"Yes","No")</f>
        <v>No</v>
      </c>
      <c r="L66" s="3" t="str">
        <f t="shared" ref="L66:L101" si="5">IF(H66&gt;500000,"Premium",IF(H66&gt;200000,"Standard","Low"))</f>
        <v>Low</v>
      </c>
    </row>
    <row r="67" spans="1:12">
      <c r="A67" s="2">
        <v>45716</v>
      </c>
      <c r="B67" s="2" t="str">
        <f>TEXT(Table1[[#This Row],[Date]],"mmm")</f>
        <v>Feb</v>
      </c>
      <c r="C67" s="3" t="s">
        <v>24</v>
      </c>
      <c r="D67" s="3" t="s">
        <v>12</v>
      </c>
      <c r="E67" s="3" t="s">
        <v>23</v>
      </c>
      <c r="F67" s="3">
        <v>4</v>
      </c>
      <c r="G67" s="3">
        <v>24944</v>
      </c>
      <c r="H67" s="3">
        <v>99776</v>
      </c>
      <c r="I67" s="3" t="s">
        <v>20</v>
      </c>
      <c r="J67" s="3">
        <f t="shared" si="3"/>
        <v>99776</v>
      </c>
      <c r="K67" s="3" t="str">
        <f t="shared" si="4"/>
        <v>No</v>
      </c>
      <c r="L67" s="3" t="str">
        <f t="shared" si="5"/>
        <v>Low</v>
      </c>
    </row>
    <row r="68" spans="1:12">
      <c r="A68" s="2">
        <v>45738</v>
      </c>
      <c r="B68" s="2" t="str">
        <f>TEXT(Table1[[#This Row],[Date]],"mmm")</f>
        <v>Mar</v>
      </c>
      <c r="C68" s="3" t="s">
        <v>15</v>
      </c>
      <c r="D68" s="3" t="s">
        <v>18</v>
      </c>
      <c r="E68" s="3" t="s">
        <v>19</v>
      </c>
      <c r="F68" s="3">
        <v>3</v>
      </c>
      <c r="G68" s="3">
        <v>35699</v>
      </c>
      <c r="H68" s="3">
        <v>107097</v>
      </c>
      <c r="I68" s="3" t="s">
        <v>20</v>
      </c>
      <c r="J68" s="3">
        <f t="shared" si="3"/>
        <v>107097</v>
      </c>
      <c r="K68" s="3" t="str">
        <f t="shared" si="4"/>
        <v>No</v>
      </c>
      <c r="L68" s="3" t="str">
        <f t="shared" si="5"/>
        <v>Low</v>
      </c>
    </row>
    <row r="69" spans="1:12">
      <c r="A69" s="2">
        <v>45839</v>
      </c>
      <c r="B69" s="2" t="str">
        <f>TEXT(Table1[[#This Row],[Date]],"mmm")</f>
        <v>Jul</v>
      </c>
      <c r="C69" s="3" t="s">
        <v>17</v>
      </c>
      <c r="D69" s="3" t="s">
        <v>26</v>
      </c>
      <c r="E69" s="3" t="s">
        <v>13</v>
      </c>
      <c r="F69" s="3">
        <v>17</v>
      </c>
      <c r="G69" s="3">
        <v>10204</v>
      </c>
      <c r="H69" s="3">
        <v>173468</v>
      </c>
      <c r="I69" s="3" t="s">
        <v>20</v>
      </c>
      <c r="J69" s="3">
        <f t="shared" si="3"/>
        <v>173468</v>
      </c>
      <c r="K69" s="3" t="str">
        <f t="shared" si="4"/>
        <v>No</v>
      </c>
      <c r="L69" s="3" t="str">
        <f t="shared" si="5"/>
        <v>Low</v>
      </c>
    </row>
    <row r="70" spans="1:12">
      <c r="A70" s="2">
        <v>45776</v>
      </c>
      <c r="B70" s="2" t="str">
        <f>TEXT(Table1[[#This Row],[Date]],"mmm")</f>
        <v>Apr</v>
      </c>
      <c r="C70" s="3" t="s">
        <v>15</v>
      </c>
      <c r="D70" s="3" t="s">
        <v>29</v>
      </c>
      <c r="E70" s="3" t="s">
        <v>21</v>
      </c>
      <c r="F70" s="3">
        <v>17</v>
      </c>
      <c r="G70" s="3">
        <v>2081</v>
      </c>
      <c r="H70" s="3">
        <v>35377</v>
      </c>
      <c r="I70" s="3" t="s">
        <v>20</v>
      </c>
      <c r="J70" s="3">
        <f t="shared" si="3"/>
        <v>35377</v>
      </c>
      <c r="K70" s="3" t="str">
        <f t="shared" si="4"/>
        <v>No</v>
      </c>
      <c r="L70" s="3" t="str">
        <f t="shared" si="5"/>
        <v>Low</v>
      </c>
    </row>
    <row r="71" spans="1:12">
      <c r="A71" s="2">
        <v>45906</v>
      </c>
      <c r="B71" s="2" t="str">
        <f>TEXT(Table1[[#This Row],[Date]],"mmm")</f>
        <v>Sep</v>
      </c>
      <c r="C71" s="3" t="s">
        <v>24</v>
      </c>
      <c r="D71" s="3" t="s">
        <v>25</v>
      </c>
      <c r="E71" s="3" t="s">
        <v>27</v>
      </c>
      <c r="F71" s="3">
        <v>12</v>
      </c>
      <c r="G71" s="3">
        <v>30305</v>
      </c>
      <c r="H71" s="3">
        <v>363660</v>
      </c>
      <c r="I71" s="3" t="s">
        <v>14</v>
      </c>
      <c r="J71" s="3">
        <f t="shared" si="3"/>
        <v>363660</v>
      </c>
      <c r="K71" s="3" t="str">
        <f t="shared" si="4"/>
        <v>Yes</v>
      </c>
      <c r="L71" s="3" t="str">
        <f t="shared" si="5"/>
        <v>Standard</v>
      </c>
    </row>
    <row r="72" spans="1:12">
      <c r="A72" s="2">
        <v>45940</v>
      </c>
      <c r="B72" s="2" t="str">
        <f>TEXT(Table1[[#This Row],[Date]],"mmm")</f>
        <v>Oct</v>
      </c>
      <c r="C72" s="3" t="s">
        <v>24</v>
      </c>
      <c r="D72" s="3" t="s">
        <v>18</v>
      </c>
      <c r="E72" s="3" t="s">
        <v>16</v>
      </c>
      <c r="F72" s="3">
        <v>14</v>
      </c>
      <c r="G72" s="3">
        <v>17896</v>
      </c>
      <c r="H72" s="3">
        <v>250544</v>
      </c>
      <c r="I72" s="3" t="s">
        <v>14</v>
      </c>
      <c r="J72" s="3">
        <f t="shared" si="3"/>
        <v>250544</v>
      </c>
      <c r="K72" s="3" t="str">
        <f t="shared" si="4"/>
        <v>Yes</v>
      </c>
      <c r="L72" s="3" t="str">
        <f t="shared" si="5"/>
        <v>Standard</v>
      </c>
    </row>
    <row r="73" spans="1:12">
      <c r="A73" s="2">
        <v>45661</v>
      </c>
      <c r="B73" s="2" t="str">
        <f>TEXT(Table1[[#This Row],[Date]],"mmm")</f>
        <v>Jan</v>
      </c>
      <c r="C73" s="3" t="s">
        <v>24</v>
      </c>
      <c r="D73" s="3" t="s">
        <v>26</v>
      </c>
      <c r="E73" s="3" t="s">
        <v>28</v>
      </c>
      <c r="F73" s="3">
        <v>6</v>
      </c>
      <c r="G73" s="3">
        <v>47175</v>
      </c>
      <c r="H73" s="3">
        <v>283050</v>
      </c>
      <c r="I73" s="3" t="s">
        <v>14</v>
      </c>
      <c r="J73" s="3">
        <f t="shared" si="3"/>
        <v>283050</v>
      </c>
      <c r="K73" s="3" t="str">
        <f t="shared" si="4"/>
        <v>Yes</v>
      </c>
      <c r="L73" s="3" t="str">
        <f t="shared" si="5"/>
        <v>Standard</v>
      </c>
    </row>
    <row r="74" spans="1:12">
      <c r="A74" s="2">
        <v>45806</v>
      </c>
      <c r="B74" s="2" t="str">
        <f>TEXT(Table1[[#This Row],[Date]],"mmm")</f>
        <v>May</v>
      </c>
      <c r="C74" s="3" t="s">
        <v>17</v>
      </c>
      <c r="D74" s="3" t="s">
        <v>18</v>
      </c>
      <c r="E74" s="3" t="s">
        <v>21</v>
      </c>
      <c r="F74" s="3">
        <v>3</v>
      </c>
      <c r="G74" s="3">
        <v>8805</v>
      </c>
      <c r="H74" s="3">
        <v>26415</v>
      </c>
      <c r="I74" s="3" t="s">
        <v>20</v>
      </c>
      <c r="J74" s="3">
        <f t="shared" si="3"/>
        <v>26415</v>
      </c>
      <c r="K74" s="3" t="str">
        <f t="shared" si="4"/>
        <v>No</v>
      </c>
      <c r="L74" s="3" t="str">
        <f t="shared" si="5"/>
        <v>Low</v>
      </c>
    </row>
    <row r="75" spans="1:12">
      <c r="A75" s="2">
        <v>45814</v>
      </c>
      <c r="B75" s="2" t="str">
        <f>TEXT(Table1[[#This Row],[Date]],"mmm")</f>
        <v>Jun</v>
      </c>
      <c r="C75" s="3" t="s">
        <v>24</v>
      </c>
      <c r="D75" s="3" t="s">
        <v>22</v>
      </c>
      <c r="E75" s="3" t="s">
        <v>21</v>
      </c>
      <c r="F75" s="3">
        <v>9</v>
      </c>
      <c r="G75" s="3">
        <v>6237</v>
      </c>
      <c r="H75" s="3">
        <v>56133</v>
      </c>
      <c r="I75" s="3" t="s">
        <v>20</v>
      </c>
      <c r="J75" s="3">
        <f t="shared" si="3"/>
        <v>56133</v>
      </c>
      <c r="K75" s="3" t="str">
        <f t="shared" si="4"/>
        <v>No</v>
      </c>
      <c r="L75" s="3" t="str">
        <f t="shared" si="5"/>
        <v>Low</v>
      </c>
    </row>
    <row r="76" spans="1:12">
      <c r="A76" s="2">
        <v>45847</v>
      </c>
      <c r="B76" s="2" t="str">
        <f>TEXT(Table1[[#This Row],[Date]],"mmm")</f>
        <v>Jul</v>
      </c>
      <c r="C76" s="3" t="s">
        <v>17</v>
      </c>
      <c r="D76" s="3" t="s">
        <v>26</v>
      </c>
      <c r="E76" s="3" t="s">
        <v>23</v>
      </c>
      <c r="F76" s="3">
        <v>5</v>
      </c>
      <c r="G76" s="3">
        <v>21056</v>
      </c>
      <c r="H76" s="3">
        <v>105280</v>
      </c>
      <c r="I76" s="3" t="s">
        <v>20</v>
      </c>
      <c r="J76" s="3">
        <f t="shared" si="3"/>
        <v>105280</v>
      </c>
      <c r="K76" s="3" t="str">
        <f t="shared" si="4"/>
        <v>No</v>
      </c>
      <c r="L76" s="3" t="str">
        <f t="shared" si="5"/>
        <v>Low</v>
      </c>
    </row>
    <row r="77" spans="1:12">
      <c r="A77" s="2">
        <v>45694</v>
      </c>
      <c r="B77" s="2" t="str">
        <f>TEXT(Table1[[#This Row],[Date]],"mmm")</f>
        <v>Feb</v>
      </c>
      <c r="C77" s="3" t="s">
        <v>24</v>
      </c>
      <c r="D77" s="3" t="s">
        <v>26</v>
      </c>
      <c r="E77" s="3" t="s">
        <v>13</v>
      </c>
      <c r="F77" s="3">
        <v>17</v>
      </c>
      <c r="G77" s="3">
        <v>46543</v>
      </c>
      <c r="H77" s="3">
        <v>791231</v>
      </c>
      <c r="I77" s="3" t="s">
        <v>14</v>
      </c>
      <c r="J77" s="3">
        <f t="shared" si="3"/>
        <v>791231</v>
      </c>
      <c r="K77" s="3" t="str">
        <f t="shared" si="4"/>
        <v>Yes</v>
      </c>
      <c r="L77" s="3" t="str">
        <f t="shared" si="5"/>
        <v>Premium</v>
      </c>
    </row>
    <row r="78" spans="1:12">
      <c r="A78" s="2">
        <v>45830</v>
      </c>
      <c r="B78" s="2" t="str">
        <f>TEXT(Table1[[#This Row],[Date]],"mmm")</f>
        <v>Jun</v>
      </c>
      <c r="C78" s="3" t="s">
        <v>15</v>
      </c>
      <c r="D78" s="3" t="s">
        <v>29</v>
      </c>
      <c r="E78" s="3" t="s">
        <v>19</v>
      </c>
      <c r="F78" s="3">
        <v>14</v>
      </c>
      <c r="G78" s="3">
        <v>46952</v>
      </c>
      <c r="H78" s="3">
        <v>657328</v>
      </c>
      <c r="I78" s="3" t="s">
        <v>14</v>
      </c>
      <c r="J78" s="3">
        <f t="shared" si="3"/>
        <v>657328</v>
      </c>
      <c r="K78" s="3" t="str">
        <f t="shared" si="4"/>
        <v>Yes</v>
      </c>
      <c r="L78" s="3" t="str">
        <f t="shared" si="5"/>
        <v>Premium</v>
      </c>
    </row>
    <row r="79" spans="1:12">
      <c r="A79" s="2">
        <v>45922</v>
      </c>
      <c r="B79" s="2" t="str">
        <f>TEXT(Table1[[#This Row],[Date]],"mmm")</f>
        <v>Sep</v>
      </c>
      <c r="C79" s="3" t="s">
        <v>15</v>
      </c>
      <c r="D79" s="3" t="s">
        <v>26</v>
      </c>
      <c r="E79" s="3" t="s">
        <v>19</v>
      </c>
      <c r="F79" s="3">
        <v>3</v>
      </c>
      <c r="G79" s="3">
        <v>4343</v>
      </c>
      <c r="H79" s="3">
        <v>13029</v>
      </c>
      <c r="I79" s="3" t="s">
        <v>20</v>
      </c>
      <c r="J79" s="3">
        <f t="shared" si="3"/>
        <v>13029</v>
      </c>
      <c r="K79" s="3" t="str">
        <f t="shared" si="4"/>
        <v>No</v>
      </c>
      <c r="L79" s="3" t="str">
        <f t="shared" si="5"/>
        <v>Low</v>
      </c>
    </row>
    <row r="80" spans="1:12">
      <c r="A80" s="2">
        <v>45896</v>
      </c>
      <c r="B80" s="2" t="str">
        <f>TEXT(Table1[[#This Row],[Date]],"mmm")</f>
        <v>Aug</v>
      </c>
      <c r="C80" s="3" t="s">
        <v>11</v>
      </c>
      <c r="D80" s="3" t="s">
        <v>18</v>
      </c>
      <c r="E80" s="3" t="s">
        <v>16</v>
      </c>
      <c r="F80" s="3">
        <v>1</v>
      </c>
      <c r="G80" s="3">
        <v>14500</v>
      </c>
      <c r="H80" s="3">
        <v>14500</v>
      </c>
      <c r="I80" s="3" t="s">
        <v>20</v>
      </c>
      <c r="J80" s="3">
        <f t="shared" si="3"/>
        <v>14500</v>
      </c>
      <c r="K80" s="3" t="str">
        <f t="shared" si="4"/>
        <v>No</v>
      </c>
      <c r="L80" s="3" t="str">
        <f t="shared" si="5"/>
        <v>Low</v>
      </c>
    </row>
    <row r="81" spans="1:12">
      <c r="A81" s="2">
        <v>45899</v>
      </c>
      <c r="B81" s="2" t="str">
        <f>TEXT(Table1[[#This Row],[Date]],"mmm")</f>
        <v>Aug</v>
      </c>
      <c r="C81" s="3" t="s">
        <v>15</v>
      </c>
      <c r="D81" s="3" t="s">
        <v>26</v>
      </c>
      <c r="E81" s="3" t="s">
        <v>23</v>
      </c>
      <c r="F81" s="3">
        <v>1</v>
      </c>
      <c r="G81" s="3">
        <v>30375</v>
      </c>
      <c r="H81" s="3">
        <v>30375</v>
      </c>
      <c r="I81" s="3" t="s">
        <v>20</v>
      </c>
      <c r="J81" s="3">
        <f t="shared" si="3"/>
        <v>30375</v>
      </c>
      <c r="K81" s="3" t="str">
        <f t="shared" si="4"/>
        <v>No</v>
      </c>
      <c r="L81" s="3" t="str">
        <f t="shared" si="5"/>
        <v>Low</v>
      </c>
    </row>
    <row r="82" spans="1:12">
      <c r="A82" s="2">
        <v>45690</v>
      </c>
      <c r="B82" s="2" t="str">
        <f>TEXT(Table1[[#This Row],[Date]],"mmm")</f>
        <v>Feb</v>
      </c>
      <c r="C82" s="3" t="s">
        <v>11</v>
      </c>
      <c r="D82" s="3" t="s">
        <v>29</v>
      </c>
      <c r="E82" s="3" t="s">
        <v>21</v>
      </c>
      <c r="F82" s="3">
        <v>3</v>
      </c>
      <c r="G82" s="3">
        <v>10662</v>
      </c>
      <c r="H82" s="3">
        <v>31986</v>
      </c>
      <c r="I82" s="3" t="s">
        <v>20</v>
      </c>
      <c r="J82" s="3">
        <f t="shared" si="3"/>
        <v>31986</v>
      </c>
      <c r="K82" s="3" t="str">
        <f t="shared" si="4"/>
        <v>No</v>
      </c>
      <c r="L82" s="3" t="str">
        <f t="shared" si="5"/>
        <v>Low</v>
      </c>
    </row>
    <row r="83" spans="1:12">
      <c r="A83" s="2">
        <v>45940</v>
      </c>
      <c r="B83" s="2" t="str">
        <f>TEXT(Table1[[#This Row],[Date]],"mmm")</f>
        <v>Oct</v>
      </c>
      <c r="C83" s="3" t="s">
        <v>15</v>
      </c>
      <c r="D83" s="3" t="s">
        <v>29</v>
      </c>
      <c r="E83" s="3" t="s">
        <v>27</v>
      </c>
      <c r="F83" s="3">
        <v>18</v>
      </c>
      <c r="G83" s="3">
        <v>17964</v>
      </c>
      <c r="H83" s="3">
        <v>323352</v>
      </c>
      <c r="I83" s="3" t="s">
        <v>14</v>
      </c>
      <c r="J83" s="3">
        <f t="shared" si="3"/>
        <v>323352</v>
      </c>
      <c r="K83" s="3" t="str">
        <f t="shared" si="4"/>
        <v>Yes</v>
      </c>
      <c r="L83" s="3" t="str">
        <f t="shared" si="5"/>
        <v>Standard</v>
      </c>
    </row>
    <row r="84" spans="1:12">
      <c r="A84" s="2">
        <v>45752</v>
      </c>
      <c r="B84" s="2" t="str">
        <f>TEXT(Table1[[#This Row],[Date]],"mmm")</f>
        <v>Apr</v>
      </c>
      <c r="C84" s="3" t="s">
        <v>17</v>
      </c>
      <c r="D84" s="3" t="s">
        <v>22</v>
      </c>
      <c r="E84" s="3" t="s">
        <v>23</v>
      </c>
      <c r="F84" s="3">
        <v>10</v>
      </c>
      <c r="G84" s="3">
        <v>48893</v>
      </c>
      <c r="H84" s="3">
        <v>488930</v>
      </c>
      <c r="I84" s="3" t="s">
        <v>14</v>
      </c>
      <c r="J84" s="3">
        <f t="shared" si="3"/>
        <v>488930</v>
      </c>
      <c r="K84" s="3" t="str">
        <f t="shared" si="4"/>
        <v>Yes</v>
      </c>
      <c r="L84" s="3" t="str">
        <f t="shared" si="5"/>
        <v>Standard</v>
      </c>
    </row>
    <row r="85" spans="1:12">
      <c r="A85" s="2">
        <v>45841</v>
      </c>
      <c r="B85" s="2" t="str">
        <f>TEXT(Table1[[#This Row],[Date]],"mmm")</f>
        <v>Jul</v>
      </c>
      <c r="C85" s="3" t="s">
        <v>15</v>
      </c>
      <c r="D85" s="3" t="s">
        <v>18</v>
      </c>
      <c r="E85" s="3" t="s">
        <v>16</v>
      </c>
      <c r="F85" s="3">
        <v>3</v>
      </c>
      <c r="G85" s="3">
        <v>9130</v>
      </c>
      <c r="H85" s="3">
        <v>27390</v>
      </c>
      <c r="I85" s="3" t="s">
        <v>20</v>
      </c>
      <c r="J85" s="3">
        <f t="shared" si="3"/>
        <v>27390</v>
      </c>
      <c r="K85" s="3" t="str">
        <f t="shared" si="4"/>
        <v>No</v>
      </c>
      <c r="L85" s="3" t="str">
        <f t="shared" si="5"/>
        <v>Low</v>
      </c>
    </row>
    <row r="86" spans="1:12">
      <c r="A86" s="2">
        <v>45768</v>
      </c>
      <c r="B86" s="2" t="str">
        <f>TEXT(Table1[[#This Row],[Date]],"mmm")</f>
        <v>Apr</v>
      </c>
      <c r="C86" s="3" t="s">
        <v>11</v>
      </c>
      <c r="D86" s="3" t="s">
        <v>12</v>
      </c>
      <c r="E86" s="3" t="s">
        <v>16</v>
      </c>
      <c r="F86" s="3">
        <v>8</v>
      </c>
      <c r="G86" s="3">
        <v>20531</v>
      </c>
      <c r="H86" s="3">
        <v>164248</v>
      </c>
      <c r="I86" s="3" t="s">
        <v>20</v>
      </c>
      <c r="J86" s="3">
        <f t="shared" si="3"/>
        <v>164248</v>
      </c>
      <c r="K86" s="3" t="str">
        <f t="shared" si="4"/>
        <v>No</v>
      </c>
      <c r="L86" s="3" t="str">
        <f t="shared" si="5"/>
        <v>Low</v>
      </c>
    </row>
    <row r="87" spans="1:12">
      <c r="A87" s="2">
        <v>45860</v>
      </c>
      <c r="B87" s="2" t="str">
        <f>TEXT(Table1[[#This Row],[Date]],"mmm")</f>
        <v>Jul</v>
      </c>
      <c r="C87" s="3" t="s">
        <v>11</v>
      </c>
      <c r="D87" s="3" t="s">
        <v>12</v>
      </c>
      <c r="E87" s="3" t="s">
        <v>23</v>
      </c>
      <c r="F87" s="3">
        <v>14</v>
      </c>
      <c r="G87" s="3">
        <v>2679</v>
      </c>
      <c r="H87" s="3">
        <v>37506</v>
      </c>
      <c r="I87" s="3" t="s">
        <v>20</v>
      </c>
      <c r="J87" s="3">
        <f t="shared" si="3"/>
        <v>37506</v>
      </c>
      <c r="K87" s="3" t="str">
        <f t="shared" si="4"/>
        <v>No</v>
      </c>
      <c r="L87" s="3" t="str">
        <f t="shared" si="5"/>
        <v>Low</v>
      </c>
    </row>
    <row r="88" spans="1:12">
      <c r="A88" s="2">
        <v>45697</v>
      </c>
      <c r="B88" s="2" t="str">
        <f>TEXT(Table1[[#This Row],[Date]],"mmm")</f>
        <v>Feb</v>
      </c>
      <c r="C88" s="3" t="s">
        <v>24</v>
      </c>
      <c r="D88" s="3" t="s">
        <v>26</v>
      </c>
      <c r="E88" s="3" t="s">
        <v>16</v>
      </c>
      <c r="F88" s="3">
        <v>18</v>
      </c>
      <c r="G88" s="3">
        <v>4506</v>
      </c>
      <c r="H88" s="3">
        <v>199862.88421052601</v>
      </c>
      <c r="I88" s="3" t="s">
        <v>20</v>
      </c>
      <c r="J88" s="3">
        <f t="shared" si="3"/>
        <v>81108</v>
      </c>
      <c r="K88" s="3" t="str">
        <f t="shared" si="4"/>
        <v>No</v>
      </c>
      <c r="L88" s="3" t="str">
        <f t="shared" si="5"/>
        <v>Low</v>
      </c>
    </row>
    <row r="89" spans="1:12">
      <c r="A89" s="2">
        <v>45746</v>
      </c>
      <c r="B89" s="2" t="str">
        <f>TEXT(Table1[[#This Row],[Date]],"mmm")</f>
        <v>Mar</v>
      </c>
      <c r="C89" s="3" t="s">
        <v>17</v>
      </c>
      <c r="D89" s="3" t="s">
        <v>22</v>
      </c>
      <c r="E89" s="3" t="s">
        <v>23</v>
      </c>
      <c r="F89" s="3">
        <v>15</v>
      </c>
      <c r="G89" s="3">
        <v>14284</v>
      </c>
      <c r="H89" s="3">
        <v>214260</v>
      </c>
      <c r="I89" s="3" t="s">
        <v>14</v>
      </c>
      <c r="J89" s="3">
        <f t="shared" si="3"/>
        <v>214260</v>
      </c>
      <c r="K89" s="3" t="str">
        <f t="shared" si="4"/>
        <v>Yes</v>
      </c>
      <c r="L89" s="3" t="str">
        <f t="shared" si="5"/>
        <v>Standard</v>
      </c>
    </row>
    <row r="90" spans="1:12">
      <c r="A90" s="2">
        <v>45701</v>
      </c>
      <c r="B90" s="2" t="str">
        <f>TEXT(Table1[[#This Row],[Date]],"mmm")</f>
        <v>Feb</v>
      </c>
      <c r="C90" s="3" t="s">
        <v>15</v>
      </c>
      <c r="D90" s="3" t="s">
        <v>25</v>
      </c>
      <c r="E90" s="3" t="s">
        <v>28</v>
      </c>
      <c r="F90" s="3">
        <v>2</v>
      </c>
      <c r="G90" s="3">
        <v>8253</v>
      </c>
      <c r="H90" s="3">
        <v>16506</v>
      </c>
      <c r="I90" s="3" t="s">
        <v>20</v>
      </c>
      <c r="J90" s="3">
        <f t="shared" si="3"/>
        <v>16506</v>
      </c>
      <c r="K90" s="3" t="str">
        <f t="shared" si="4"/>
        <v>No</v>
      </c>
      <c r="L90" s="3" t="str">
        <f t="shared" si="5"/>
        <v>Low</v>
      </c>
    </row>
    <row r="91" spans="1:12">
      <c r="A91" s="2">
        <v>45775</v>
      </c>
      <c r="B91" s="2" t="str">
        <f>TEXT(Table1[[#This Row],[Date]],"mmm")</f>
        <v>Apr</v>
      </c>
      <c r="C91" s="3" t="s">
        <v>24</v>
      </c>
      <c r="D91" s="3" t="s">
        <v>26</v>
      </c>
      <c r="E91" s="3" t="s">
        <v>23</v>
      </c>
      <c r="F91" s="3">
        <v>10</v>
      </c>
      <c r="G91" s="3">
        <v>20128</v>
      </c>
      <c r="H91" s="3">
        <v>201280</v>
      </c>
      <c r="I91" s="3" t="s">
        <v>14</v>
      </c>
      <c r="J91" s="3">
        <f t="shared" si="3"/>
        <v>201280</v>
      </c>
      <c r="K91" s="3" t="str">
        <f t="shared" si="4"/>
        <v>Yes</v>
      </c>
      <c r="L91" s="3" t="str">
        <f t="shared" si="5"/>
        <v>Standard</v>
      </c>
    </row>
    <row r="92" spans="1:12">
      <c r="A92" s="2">
        <v>45906</v>
      </c>
      <c r="B92" s="2" t="str">
        <f>TEXT(Table1[[#This Row],[Date]],"mmm")</f>
        <v>Sep</v>
      </c>
      <c r="C92" s="3" t="s">
        <v>15</v>
      </c>
      <c r="D92" s="3" t="s">
        <v>22</v>
      </c>
      <c r="E92" s="3" t="s">
        <v>13</v>
      </c>
      <c r="F92" s="3">
        <v>2</v>
      </c>
      <c r="G92" s="3">
        <v>28932</v>
      </c>
      <c r="H92" s="3">
        <v>57864</v>
      </c>
      <c r="I92" s="3" t="s">
        <v>20</v>
      </c>
      <c r="J92" s="3">
        <f t="shared" si="3"/>
        <v>57864</v>
      </c>
      <c r="K92" s="3" t="str">
        <f t="shared" si="4"/>
        <v>No</v>
      </c>
      <c r="L92" s="3" t="str">
        <f t="shared" si="5"/>
        <v>Low</v>
      </c>
    </row>
    <row r="93" spans="1:12">
      <c r="A93" s="2">
        <v>45915</v>
      </c>
      <c r="B93" s="2" t="str">
        <f>TEXT(Table1[[#This Row],[Date]],"mmm")</f>
        <v>Sep</v>
      </c>
      <c r="C93" s="3" t="s">
        <v>15</v>
      </c>
      <c r="D93" s="3" t="s">
        <v>18</v>
      </c>
      <c r="E93" s="3" t="s">
        <v>23</v>
      </c>
      <c r="F93" s="3">
        <v>17</v>
      </c>
      <c r="G93" s="3">
        <v>10435</v>
      </c>
      <c r="H93" s="3">
        <v>177395</v>
      </c>
      <c r="I93" s="3" t="s">
        <v>20</v>
      </c>
      <c r="J93" s="3">
        <f t="shared" si="3"/>
        <v>177395</v>
      </c>
      <c r="K93" s="3" t="str">
        <f t="shared" si="4"/>
        <v>No</v>
      </c>
      <c r="L93" s="3" t="str">
        <f t="shared" si="5"/>
        <v>Low</v>
      </c>
    </row>
    <row r="94" spans="1:12">
      <c r="A94" s="2">
        <v>45885</v>
      </c>
      <c r="B94" s="2" t="str">
        <f>TEXT(Table1[[#This Row],[Date]],"mmm")</f>
        <v>Aug</v>
      </c>
      <c r="C94" s="3" t="s">
        <v>24</v>
      </c>
      <c r="D94" s="3" t="s">
        <v>18</v>
      </c>
      <c r="E94" s="3" t="s">
        <v>16</v>
      </c>
      <c r="F94" s="3">
        <v>8</v>
      </c>
      <c r="G94" s="3">
        <v>45078</v>
      </c>
      <c r="H94" s="3">
        <v>360624</v>
      </c>
      <c r="I94" s="3" t="s">
        <v>14</v>
      </c>
      <c r="J94" s="3">
        <f t="shared" si="3"/>
        <v>360624</v>
      </c>
      <c r="K94" s="3" t="str">
        <f t="shared" si="4"/>
        <v>Yes</v>
      </c>
      <c r="L94" s="3" t="str">
        <f t="shared" si="5"/>
        <v>Standard</v>
      </c>
    </row>
    <row r="95" spans="1:12">
      <c r="A95" s="2">
        <v>45796</v>
      </c>
      <c r="B95" s="2" t="str">
        <f>TEXT(Table1[[#This Row],[Date]],"mmm")</f>
        <v>May</v>
      </c>
      <c r="C95" s="3" t="s">
        <v>24</v>
      </c>
      <c r="D95" s="3" t="s">
        <v>18</v>
      </c>
      <c r="E95" s="3" t="s">
        <v>13</v>
      </c>
      <c r="F95" s="3">
        <v>1</v>
      </c>
      <c r="G95" s="3">
        <v>14296</v>
      </c>
      <c r="H95" s="3">
        <v>14296</v>
      </c>
      <c r="I95" s="3" t="s">
        <v>20</v>
      </c>
      <c r="J95" s="3">
        <f t="shared" si="3"/>
        <v>14296</v>
      </c>
      <c r="K95" s="3" t="str">
        <f t="shared" si="4"/>
        <v>No</v>
      </c>
      <c r="L95" s="3" t="str">
        <f t="shared" si="5"/>
        <v>Low</v>
      </c>
    </row>
    <row r="96" spans="1:12">
      <c r="A96" s="2">
        <v>45927</v>
      </c>
      <c r="B96" s="2" t="str">
        <f>TEXT(Table1[[#This Row],[Date]],"mmm")</f>
        <v>Sep</v>
      </c>
      <c r="C96" s="3" t="s">
        <v>24</v>
      </c>
      <c r="D96" s="3" t="s">
        <v>18</v>
      </c>
      <c r="E96" s="3" t="s">
        <v>16</v>
      </c>
      <c r="F96" s="3">
        <v>9</v>
      </c>
      <c r="G96" s="3">
        <v>31445</v>
      </c>
      <c r="H96" s="3">
        <v>283005</v>
      </c>
      <c r="I96" s="3" t="s">
        <v>14</v>
      </c>
      <c r="J96" s="3">
        <f t="shared" si="3"/>
        <v>283005</v>
      </c>
      <c r="K96" s="3" t="str">
        <f t="shared" si="4"/>
        <v>Yes</v>
      </c>
      <c r="L96" s="3" t="str">
        <f t="shared" si="5"/>
        <v>Standard</v>
      </c>
    </row>
    <row r="97" spans="1:12">
      <c r="A97" s="2">
        <v>45669</v>
      </c>
      <c r="B97" s="2" t="str">
        <f>TEXT(Table1[[#This Row],[Date]],"mmm")</f>
        <v>Jan</v>
      </c>
      <c r="C97" s="3" t="s">
        <v>24</v>
      </c>
      <c r="D97" s="3" t="s">
        <v>18</v>
      </c>
      <c r="E97" s="3" t="s">
        <v>19</v>
      </c>
      <c r="F97" s="3">
        <v>11</v>
      </c>
      <c r="G97" s="3">
        <v>14245</v>
      </c>
      <c r="H97" s="3">
        <v>156695</v>
      </c>
      <c r="I97" s="3" t="s">
        <v>20</v>
      </c>
      <c r="J97" s="3">
        <f t="shared" si="3"/>
        <v>156695</v>
      </c>
      <c r="K97" s="3" t="str">
        <f t="shared" si="4"/>
        <v>No</v>
      </c>
      <c r="L97" s="3" t="str">
        <f t="shared" si="5"/>
        <v>Low</v>
      </c>
    </row>
    <row r="98" spans="1:12">
      <c r="A98" s="2">
        <v>45661</v>
      </c>
      <c r="B98" s="2" t="str">
        <f>TEXT(Table1[[#This Row],[Date]],"mmm")</f>
        <v>Jan</v>
      </c>
      <c r="C98" s="3" t="s">
        <v>24</v>
      </c>
      <c r="D98" s="3" t="s">
        <v>22</v>
      </c>
      <c r="E98" s="3" t="s">
        <v>19</v>
      </c>
      <c r="F98" s="3">
        <v>16</v>
      </c>
      <c r="G98" s="3">
        <v>30124</v>
      </c>
      <c r="H98" s="3">
        <v>199862.88421052601</v>
      </c>
      <c r="I98" s="3" t="s">
        <v>20</v>
      </c>
      <c r="J98" s="3">
        <f t="shared" si="3"/>
        <v>481984</v>
      </c>
      <c r="K98" s="3" t="str">
        <f t="shared" si="4"/>
        <v>No</v>
      </c>
      <c r="L98" s="3" t="str">
        <f t="shared" si="5"/>
        <v>Low</v>
      </c>
    </row>
    <row r="99" spans="1:12">
      <c r="A99" s="2">
        <v>45686</v>
      </c>
      <c r="B99" s="2" t="str">
        <f>TEXT(Table1[[#This Row],[Date]],"mmm")</f>
        <v>Jan</v>
      </c>
      <c r="C99" s="3" t="s">
        <v>15</v>
      </c>
      <c r="D99" s="3" t="s">
        <v>22</v>
      </c>
      <c r="E99" s="3" t="s">
        <v>13</v>
      </c>
      <c r="F99" s="3">
        <v>7</v>
      </c>
      <c r="G99" s="3">
        <v>30899</v>
      </c>
      <c r="H99" s="3">
        <v>216293</v>
      </c>
      <c r="I99" s="3" t="s">
        <v>14</v>
      </c>
      <c r="J99" s="3">
        <f t="shared" si="3"/>
        <v>216293</v>
      </c>
      <c r="K99" s="3" t="str">
        <f t="shared" si="4"/>
        <v>Yes</v>
      </c>
      <c r="L99" s="3" t="str">
        <f t="shared" si="5"/>
        <v>Standard</v>
      </c>
    </row>
    <row r="100" spans="1:12">
      <c r="A100" s="2">
        <v>45932</v>
      </c>
      <c r="B100" s="2" t="str">
        <f>TEXT(Table1[[#This Row],[Date]],"mmm")</f>
        <v>Oct</v>
      </c>
      <c r="C100" s="3" t="s">
        <v>24</v>
      </c>
      <c r="D100" s="3" t="s">
        <v>29</v>
      </c>
      <c r="E100" s="3" t="s">
        <v>28</v>
      </c>
      <c r="F100" s="3">
        <v>10</v>
      </c>
      <c r="G100" s="3">
        <v>44919</v>
      </c>
      <c r="H100" s="3">
        <v>449190</v>
      </c>
      <c r="I100" s="3" t="s">
        <v>14</v>
      </c>
      <c r="J100" s="3">
        <f t="shared" si="3"/>
        <v>449190</v>
      </c>
      <c r="K100" s="3" t="str">
        <f t="shared" si="4"/>
        <v>Yes</v>
      </c>
      <c r="L100" s="3" t="str">
        <f t="shared" si="5"/>
        <v>Standard</v>
      </c>
    </row>
    <row r="101" spans="1:12">
      <c r="A101" s="2">
        <v>45772</v>
      </c>
      <c r="B101" s="2" t="str">
        <f>TEXT(Table1[[#This Row],[Date]],"mmm")</f>
        <v>Apr</v>
      </c>
      <c r="C101" s="3" t="s">
        <v>17</v>
      </c>
      <c r="D101" s="3" t="s">
        <v>12</v>
      </c>
      <c r="E101" s="3" t="s">
        <v>19</v>
      </c>
      <c r="F101" s="3">
        <v>3</v>
      </c>
      <c r="G101" s="3">
        <v>44225</v>
      </c>
      <c r="H101" s="3">
        <v>132675</v>
      </c>
      <c r="I101" s="3" t="s">
        <v>20</v>
      </c>
      <c r="J101" s="3">
        <f t="shared" si="3"/>
        <v>132675</v>
      </c>
      <c r="K101" s="3" t="str">
        <f t="shared" si="4"/>
        <v>No</v>
      </c>
      <c r="L101" s="3" t="str">
        <f t="shared" si="5"/>
        <v>Low</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Analyze</vt:lpstr>
      <vt:lpstr>Raw Data</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Binny Rudani</dc:creator>
  <cp:lastModifiedBy>Sanika Kale</cp:lastModifiedBy>
  <dcterms:created xsi:type="dcterms:W3CDTF">2025-11-11T12:14:00Z</dcterms:created>
  <dcterms:modified xsi:type="dcterms:W3CDTF">2025-11-12T12:07:59Z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7B01DF781B3F46B388E003D3B5718ACB_12</vt:lpwstr>
  </property>
  <property fmtid="{D5CDD505-2E9C-101B-9397-08002B2CF9AE}" pid="3" name="KSOProductBuildVer">
    <vt:lpwstr>1033-12.2.0.23155</vt:lpwstr>
  </property>
</Properties>
</file>